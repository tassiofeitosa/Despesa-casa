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Planejamento" sheetId="3" state="visible" r:id="rId3"/>
  </sheets>
  <definedNames>
    <definedName name="_xlnm._FilterDatabase" localSheetId="0" hidden="1">'Lançamentos'!$A$1:$F$1001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&quot; #,##0.00;-&quot;R$&quot; #,##0.00;&quot;-&quot;"/>
    <numFmt numFmtId="166" formatCode="yyyy-mm-dd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F6B66"/>
      <sz val="9"/>
    </font>
    <font>
      <name val="Arial"/>
      <b val="1"/>
      <color rgb="001E6B52"/>
      <sz val="16"/>
    </font>
    <font>
      <name val="Arial"/>
      <color rgb="000000FF"/>
      <sz val="10"/>
    </font>
    <font>
      <name val="Arial"/>
      <b val="1"/>
      <sz val="10"/>
    </font>
    <font>
      <name val="Arial"/>
      <b val="1"/>
      <sz val="12"/>
    </font>
    <font>
      <name val="Arial"/>
      <b val="1"/>
      <color rgb="001E6B52"/>
      <sz val="12"/>
    </font>
    <font>
      <name val="Arial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E6B52"/>
      </patternFill>
    </fill>
    <fill>
      <patternFill patternType="solid">
        <fgColor rgb="00FFF2CC"/>
      </patternFill>
    </fill>
    <fill>
      <patternFill patternType="solid">
        <fgColor rgb="00E3F1EA"/>
      </patternFill>
    </fill>
  </fills>
  <borders count="2">
    <border>
      <left/>
      <right/>
      <top/>
      <bottom/>
      <diagonal/>
    </border>
    <border>
      <bottom style="thin">
        <color rgb="00D5DBD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164" fontId="2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164" fontId="5" fillId="0" borderId="1" pivotButton="0" quotePrefix="0" xfId="0"/>
    <xf numFmtId="0" fontId="2" fillId="0" borderId="0" pivotButton="0" quotePrefix="0" xfId="0"/>
    <xf numFmtId="0" fontId="6" fillId="0" borderId="0" pivotButton="0" quotePrefix="0" xfId="0"/>
    <xf numFmtId="165" fontId="6" fillId="0" borderId="0" pivotButton="0" quotePrefix="0" xfId="0"/>
    <xf numFmtId="164" fontId="0" fillId="0" borderId="0" pivotButton="0" quotePrefix="0" xfId="0"/>
    <xf numFmtId="165" fontId="2" fillId="0" borderId="0" pivotButton="0" quotePrefix="0" xfId="0"/>
    <xf numFmtId="0" fontId="8" fillId="0" borderId="0" pivotButton="0" quotePrefix="0" xfId="0"/>
    <xf numFmtId="9" fontId="5" fillId="3" borderId="1" pivotButton="0" quotePrefix="0" xfId="0"/>
    <xf numFmtId="0" fontId="1" fillId="2" borderId="0" pivotButton="0" quotePrefix="0" xfId="0"/>
    <xf numFmtId="1" fontId="5" fillId="3" borderId="1" pivotButton="0" quotePrefix="0" xfId="0"/>
    <xf numFmtId="0" fontId="5" fillId="3" borderId="0" pivotButton="0" quotePrefix="0" xfId="0"/>
    <xf numFmtId="165" fontId="5" fillId="3" borderId="0" pivotButton="0" quotePrefix="0" xfId="0"/>
    <xf numFmtId="165" fontId="5" fillId="3" borderId="1" pivotButton="0" quotePrefix="0" xfId="0"/>
    <xf numFmtId="1" fontId="2" fillId="0" borderId="1" pivotButton="0" quotePrefix="0" xfId="0"/>
    <xf numFmtId="0" fontId="7" fillId="4" borderId="0" pivotButton="0" quotePrefix="0" xfId="0"/>
    <xf numFmtId="165" fontId="7" fillId="4" borderId="1" pivotButton="0" quotePrefix="0" xfId="0"/>
    <xf numFmtId="0" fontId="9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por fatura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'Resumo'!$A$5:$A$16</f>
            </numRef>
          </cat>
          <val>
            <numRef>
              <f>'Resumo'!$B$5:$B$16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 categoria (fatura atual)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'Resumo'!$G$14:$G$19</f>
            </numRef>
          </cat>
          <val>
            <numRef>
              <f>'Resumo'!$H$14:$H$19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Quanto juntar (com margem)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'Planejamento'!C22</f>
            </strRef>
          </tx>
          <spPr>
            <a:ln xmlns:a="http://schemas.openxmlformats.org/drawingml/2006/main">
              <a:prstDash val="solid"/>
            </a:ln>
          </spPr>
          <cat>
            <numRef>
              <f>'Planejamento'!$A$23:$A$26</f>
            </numRef>
          </cat>
          <val>
            <numRef>
              <f>'Planejamento'!$C$23:$C$26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Gastos Casa</author>
  </authors>
  <commentList>
    <comment ref="A5" authorId="0" shapeId="0">
      <text>
        <t>Início da primeira fatura anotada (26/10/2026, fechamento dos cartões). As seguintes são calculadas.</t>
      </text>
    </comment>
  </commentList>
</comments>
</file>

<file path=xl/comments/comment2.xml><?xml version="1.0" encoding="utf-8"?>
<comments xmlns="http://schemas.openxmlformats.org/spreadsheetml/2006/main">
  <authors>
    <author>Gastos Casa</author>
  </authors>
  <commentList>
    <comment ref="B4" authorId="0" shapeId="0">
      <text>
        <t>Edite: quanto a mais separar além da média.</t>
      </text>
    </comment>
    <comment ref="B5" authorId="0" shapeId="0">
      <text>
        <t>Dia em que a fatura dos cartões fecha.</t>
      </text>
    </comment>
    <comment ref="B6" authorId="0" shapeId="0">
      <text>
        <t>Preencham com o valor que cai no vale por mês para ver o saldo.</t>
      </text>
    </comment>
    <comment ref="B7" authorId="0" shapeId="0">
      <text>
        <t>Fatura do gasto mais recente.</t>
      </text>
    </comment>
    <comment ref="B10" authorId="0" shapeId="0">
      <text>
        <t>Do dia 26 até o gasto mais recente.</t>
      </text>
    </comment>
    <comment ref="B13" authorId="0" shapeId="0">
      <text>
        <t>Gasto até agora + média por dia × dias que faltam.</t>
      </text>
    </comment>
    <comment ref="B14" authorId="0" shapeId="0">
      <text>
        <t>Até 3 faturas antes da atual, com gastos.</t>
      </text>
    </comment>
    <comment ref="B15" authorId="0" shapeId="0">
      <text>
        <t>Sem faturas anteriores ainda, usa a projeção da atual.</t>
      </text>
    </comment>
    <comment ref="B16" authorId="0" shapeId="0">
      <text>
        <t>Soma da tabela ao lado.</t>
      </text>
    </comment>
    <comment ref="B17" authorId="0" shapeId="0">
      <text>
        <t>(Média por fatura + fixos) × (1 + margem).</t>
      </text>
    </comment>
    <comment ref="B18" authorId="0" shapeId="0">
      <text>
        <t>Compras marcadas com (banri).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18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28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4" customWidth="1" min="4" max="4"/>
    <col width="13" customWidth="1" min="5" max="5"/>
    <col width="14" customWidth="1" min="6" max="6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</t>
        </is>
      </c>
      <c r="E1" s="1" t="inlineStr">
        <is>
          <t>Pagamento</t>
        </is>
      </c>
      <c r="F1" s="1" t="inlineStr">
        <is>
          <t>Anotado por</t>
        </is>
      </c>
      <c r="H1" s="2" t="inlineStr">
        <is>
          <t>Linhas amarelas estão sem valor e não entram nos totais. (banri) = Vale-alimentação.</t>
        </is>
      </c>
    </row>
    <row r="2">
      <c r="A2" s="3" t="n"/>
      <c r="B2" s="4" t="n"/>
      <c r="C2" s="4" t="n"/>
      <c r="D2" s="5" t="n"/>
      <c r="E2" s="4" t="n"/>
      <c r="F2" s="4" t="n"/>
    </row>
    <row r="3">
      <c r="A3" s="3" t="n"/>
      <c r="B3" s="4" t="n"/>
      <c r="C3" s="4" t="n"/>
      <c r="D3" s="5" t="n"/>
      <c r="E3" s="4" t="n"/>
      <c r="F3" s="4" t="n"/>
    </row>
    <row r="4">
      <c r="A4" s="3" t="n"/>
      <c r="B4" s="4" t="n"/>
      <c r="C4" s="4" t="n"/>
      <c r="D4" s="5" t="n"/>
      <c r="E4" s="4" t="n"/>
      <c r="F4" s="4" t="n"/>
    </row>
    <row r="5">
      <c r="A5" s="3" t="n"/>
      <c r="B5" s="4" t="n"/>
      <c r="C5" s="4" t="n"/>
      <c r="D5" s="5" t="n"/>
      <c r="E5" s="4" t="n"/>
      <c r="F5" s="4" t="n"/>
    </row>
    <row r="6">
      <c r="A6" s="3" t="n"/>
      <c r="B6" s="4" t="n"/>
      <c r="C6" s="4" t="n"/>
      <c r="D6" s="5" t="n"/>
      <c r="E6" s="4" t="n"/>
      <c r="F6" s="4" t="n"/>
    </row>
    <row r="7">
      <c r="A7" s="3" t="n"/>
      <c r="B7" s="4" t="n"/>
      <c r="C7" s="4" t="n"/>
      <c r="D7" s="5" t="n"/>
      <c r="E7" s="4" t="n"/>
      <c r="F7" s="4" t="n"/>
    </row>
    <row r="8">
      <c r="A8" s="3" t="n"/>
      <c r="B8" s="4" t="n"/>
      <c r="C8" s="4" t="n"/>
      <c r="D8" s="5" t="n"/>
      <c r="E8" s="4" t="n"/>
      <c r="F8" s="4" t="n"/>
    </row>
    <row r="9">
      <c r="A9" s="3" t="n"/>
      <c r="B9" s="4" t="n"/>
      <c r="C9" s="4" t="n"/>
      <c r="D9" s="5" t="n"/>
      <c r="E9" s="4" t="n"/>
      <c r="F9" s="4" t="n"/>
    </row>
    <row r="10">
      <c r="A10" s="3" t="n"/>
      <c r="B10" s="4" t="n"/>
      <c r="C10" s="4" t="n"/>
      <c r="D10" s="5" t="n"/>
      <c r="E10" s="4" t="n"/>
      <c r="F10" s="4" t="n"/>
    </row>
    <row r="11">
      <c r="A11" s="3" t="n"/>
      <c r="B11" s="4" t="n"/>
      <c r="C11" s="4" t="n"/>
      <c r="D11" s="5" t="n"/>
      <c r="E11" s="4" t="n"/>
      <c r="F11" s="4" t="n"/>
    </row>
    <row r="12">
      <c r="A12" s="3" t="n"/>
      <c r="B12" s="4" t="n"/>
      <c r="C12" s="4" t="n"/>
      <c r="D12" s="5" t="n"/>
      <c r="E12" s="4" t="n"/>
      <c r="F12" s="4" t="n"/>
    </row>
    <row r="13">
      <c r="A13" s="3" t="n"/>
      <c r="B13" s="4" t="n"/>
      <c r="C13" s="4" t="n"/>
      <c r="D13" s="5" t="n"/>
      <c r="E13" s="4" t="n"/>
      <c r="F13" s="4" t="n"/>
    </row>
    <row r="14">
      <c r="A14" s="3" t="n"/>
      <c r="B14" s="4" t="n"/>
      <c r="C14" s="4" t="n"/>
      <c r="D14" s="5" t="n"/>
      <c r="E14" s="4" t="n"/>
      <c r="F14" s="4" t="n"/>
    </row>
    <row r="15">
      <c r="A15" s="3" t="n"/>
      <c r="B15" s="4" t="n"/>
      <c r="C15" s="4" t="n"/>
      <c r="D15" s="5" t="n"/>
      <c r="E15" s="4" t="n"/>
      <c r="F15" s="4" t="n"/>
    </row>
    <row r="16">
      <c r="A16" s="3" t="n"/>
      <c r="B16" s="4" t="n"/>
      <c r="C16" s="4" t="n"/>
      <c r="D16" s="5" t="n"/>
      <c r="E16" s="4" t="n"/>
      <c r="F16" s="4" t="n"/>
    </row>
    <row r="17">
      <c r="A17" s="3" t="n"/>
      <c r="B17" s="4" t="n"/>
      <c r="C17" s="4" t="n"/>
      <c r="D17" s="5" t="n"/>
      <c r="E17" s="4" t="n"/>
      <c r="F17" s="4" t="n"/>
    </row>
    <row r="18">
      <c r="A18" s="3" t="n"/>
      <c r="B18" s="4" t="n"/>
      <c r="C18" s="4" t="n"/>
      <c r="D18" s="5" t="n"/>
      <c r="E18" s="4" t="n"/>
      <c r="F18" s="4" t="n"/>
    </row>
    <row r="19">
      <c r="A19" s="3" t="n"/>
      <c r="B19" s="4" t="n"/>
      <c r="C19" s="4" t="n"/>
      <c r="D19" s="5" t="n"/>
      <c r="E19" s="4" t="n"/>
      <c r="F19" s="4" t="n"/>
    </row>
    <row r="20">
      <c r="A20" s="3" t="n"/>
      <c r="B20" s="4" t="n"/>
      <c r="C20" s="4" t="n"/>
      <c r="D20" s="5" t="n"/>
      <c r="E20" s="4" t="n"/>
      <c r="F20" s="4" t="n"/>
    </row>
    <row r="21">
      <c r="A21" s="3" t="n"/>
      <c r="B21" s="4" t="n"/>
      <c r="C21" s="4" t="n"/>
      <c r="D21" s="5" t="n"/>
      <c r="E21" s="4" t="n"/>
      <c r="F21" s="4" t="n"/>
    </row>
    <row r="22">
      <c r="A22" s="3" t="n"/>
      <c r="B22" s="4" t="n"/>
      <c r="C22" s="4" t="n"/>
      <c r="D22" s="5" t="n"/>
      <c r="E22" s="4" t="n"/>
      <c r="F22" s="4" t="n"/>
    </row>
    <row r="23">
      <c r="A23" s="3" t="n"/>
      <c r="B23" s="4" t="n"/>
      <c r="C23" s="4" t="n"/>
      <c r="D23" s="5" t="n"/>
      <c r="E23" s="4" t="n"/>
      <c r="F23" s="4" t="n"/>
    </row>
    <row r="24">
      <c r="A24" s="3" t="n"/>
      <c r="B24" s="4" t="n"/>
      <c r="C24" s="4" t="n"/>
      <c r="D24" s="5" t="n"/>
      <c r="E24" s="4" t="n"/>
      <c r="F24" s="4" t="n"/>
    </row>
    <row r="25">
      <c r="A25" s="3" t="n"/>
      <c r="B25" s="4" t="n"/>
      <c r="C25" s="4" t="n"/>
      <c r="D25" s="5" t="n"/>
      <c r="E25" s="4" t="n"/>
      <c r="F25" s="4" t="n"/>
    </row>
    <row r="26">
      <c r="A26" s="3" t="n"/>
      <c r="B26" s="4" t="n"/>
      <c r="C26" s="4" t="n"/>
      <c r="D26" s="5" t="n"/>
      <c r="E26" s="4" t="n"/>
      <c r="F26" s="4" t="n"/>
    </row>
    <row r="27">
      <c r="A27" s="3" t="n"/>
      <c r="B27" s="4" t="n"/>
      <c r="C27" s="4" t="n"/>
      <c r="D27" s="5" t="n"/>
      <c r="E27" s="4" t="n"/>
      <c r="F27" s="4" t="n"/>
    </row>
    <row r="28">
      <c r="A28" s="3" t="n"/>
      <c r="B28" s="4" t="n"/>
      <c r="C28" s="4" t="n"/>
      <c r="D28" s="5" t="n"/>
      <c r="E28" s="4" t="n"/>
      <c r="F28" s="4" t="n"/>
    </row>
    <row r="29">
      <c r="A29" s="3" t="n"/>
      <c r="B29" s="4" t="n"/>
      <c r="C29" s="4" t="n"/>
      <c r="D29" s="5" t="n"/>
      <c r="E29" s="4" t="n"/>
      <c r="F29" s="4" t="n"/>
    </row>
    <row r="30">
      <c r="A30" s="3" t="n"/>
      <c r="B30" s="4" t="n"/>
      <c r="C30" s="4" t="n"/>
      <c r="D30" s="5" t="n"/>
      <c r="E30" s="4" t="n"/>
      <c r="F30" s="4" t="n"/>
    </row>
    <row r="31">
      <c r="A31" s="3" t="n"/>
      <c r="B31" s="4" t="n"/>
      <c r="C31" s="4" t="n"/>
      <c r="D31" s="5" t="n"/>
      <c r="E31" s="4" t="n"/>
      <c r="F31" s="4" t="n"/>
    </row>
    <row r="32">
      <c r="A32" s="3" t="n"/>
      <c r="B32" s="4" t="n"/>
      <c r="C32" s="4" t="n"/>
      <c r="D32" s="5" t="n"/>
      <c r="E32" s="4" t="n"/>
      <c r="F32" s="4" t="n"/>
    </row>
    <row r="33">
      <c r="A33" s="3" t="n"/>
      <c r="B33" s="4" t="n"/>
      <c r="C33" s="4" t="n"/>
      <c r="D33" s="5" t="n"/>
      <c r="E33" s="4" t="n"/>
      <c r="F33" s="4" t="n"/>
    </row>
    <row r="34">
      <c r="A34" s="3" t="n"/>
      <c r="B34" s="4" t="n"/>
      <c r="C34" s="4" t="n"/>
      <c r="D34" s="5" t="n"/>
      <c r="E34" s="4" t="n"/>
      <c r="F34" s="4" t="n"/>
    </row>
    <row r="35">
      <c r="A35" s="3" t="n"/>
      <c r="B35" s="4" t="n"/>
      <c r="C35" s="4" t="n"/>
      <c r="D35" s="5" t="n"/>
      <c r="E35" s="4" t="n"/>
      <c r="F35" s="4" t="n"/>
    </row>
    <row r="36">
      <c r="A36" s="3" t="n"/>
      <c r="B36" s="4" t="n"/>
      <c r="C36" s="4" t="n"/>
      <c r="D36" s="5" t="n"/>
      <c r="E36" s="4" t="n"/>
      <c r="F36" s="4" t="n"/>
    </row>
    <row r="37">
      <c r="A37" s="3" t="n"/>
      <c r="B37" s="4" t="n"/>
      <c r="C37" s="4" t="n"/>
      <c r="D37" s="5" t="n"/>
      <c r="E37" s="4" t="n"/>
      <c r="F37" s="4" t="n"/>
    </row>
    <row r="38">
      <c r="A38" s="3" t="n"/>
      <c r="B38" s="4" t="n"/>
      <c r="C38" s="4" t="n"/>
      <c r="D38" s="5" t="n"/>
      <c r="E38" s="4" t="n"/>
      <c r="F38" s="4" t="n"/>
    </row>
    <row r="39">
      <c r="A39" s="3" t="n"/>
      <c r="B39" s="4" t="n"/>
      <c r="C39" s="4" t="n"/>
      <c r="D39" s="5" t="n"/>
      <c r="E39" s="4" t="n"/>
      <c r="F39" s="4" t="n"/>
    </row>
    <row r="40">
      <c r="A40" s="3" t="n"/>
      <c r="B40" s="4" t="n"/>
      <c r="C40" s="4" t="n"/>
      <c r="D40" s="5" t="n"/>
      <c r="E40" s="4" t="n"/>
      <c r="F40" s="4" t="n"/>
    </row>
    <row r="41">
      <c r="A41" s="3" t="n"/>
      <c r="B41" s="4" t="n"/>
      <c r="C41" s="4" t="n"/>
      <c r="D41" s="5" t="n"/>
      <c r="E41" s="4" t="n"/>
      <c r="F41" s="4" t="n"/>
    </row>
    <row r="42">
      <c r="A42" s="3" t="n"/>
      <c r="B42" s="4" t="n"/>
      <c r="C42" s="4" t="n"/>
      <c r="D42" s="5" t="n"/>
      <c r="E42" s="4" t="n"/>
      <c r="F42" s="4" t="n"/>
    </row>
    <row r="43">
      <c r="A43" s="3" t="n"/>
      <c r="B43" s="4" t="n"/>
      <c r="C43" s="4" t="n"/>
      <c r="D43" s="5" t="n"/>
      <c r="E43" s="4" t="n"/>
      <c r="F43" s="4" t="n"/>
    </row>
    <row r="44">
      <c r="A44" s="3" t="n"/>
      <c r="B44" s="4" t="n"/>
      <c r="C44" s="4" t="n"/>
      <c r="D44" s="5" t="n"/>
      <c r="E44" s="4" t="n"/>
      <c r="F44" s="4" t="n"/>
    </row>
    <row r="45">
      <c r="A45" s="3" t="n"/>
      <c r="B45" s="4" t="n"/>
      <c r="C45" s="4" t="n"/>
      <c r="D45" s="5" t="n"/>
      <c r="E45" s="4" t="n"/>
      <c r="F45" s="4" t="n"/>
    </row>
    <row r="46">
      <c r="A46" s="3" t="n"/>
      <c r="B46" s="4" t="n"/>
      <c r="C46" s="4" t="n"/>
      <c r="D46" s="5" t="n"/>
      <c r="E46" s="4" t="n"/>
      <c r="F46" s="4" t="n"/>
    </row>
    <row r="47">
      <c r="A47" s="3" t="n"/>
      <c r="B47" s="4" t="n"/>
      <c r="C47" s="4" t="n"/>
      <c r="D47" s="5" t="n"/>
      <c r="E47" s="4" t="n"/>
      <c r="F47" s="4" t="n"/>
    </row>
    <row r="48">
      <c r="A48" s="3" t="n"/>
      <c r="B48" s="4" t="n"/>
      <c r="C48" s="4" t="n"/>
      <c r="D48" s="5" t="n"/>
      <c r="E48" s="4" t="n"/>
      <c r="F48" s="4" t="n"/>
    </row>
    <row r="49">
      <c r="A49" s="3" t="n"/>
      <c r="B49" s="4" t="n"/>
      <c r="C49" s="4" t="n"/>
      <c r="D49" s="5" t="n"/>
      <c r="E49" s="4" t="n"/>
      <c r="F49" s="4" t="n"/>
    </row>
    <row r="50">
      <c r="A50" s="3" t="n"/>
      <c r="B50" s="4" t="n"/>
      <c r="C50" s="4" t="n"/>
      <c r="D50" s="5" t="n"/>
      <c r="E50" s="4" t="n"/>
      <c r="F50" s="4" t="n"/>
    </row>
    <row r="51">
      <c r="A51" s="3" t="n"/>
      <c r="B51" s="4" t="n"/>
      <c r="C51" s="4" t="n"/>
      <c r="D51" s="5" t="n"/>
      <c r="E51" s="4" t="n"/>
      <c r="F51" s="4" t="n"/>
    </row>
  </sheetData>
  <autoFilter ref="A1:F1001"/>
  <conditionalFormatting sqref="A2:F1001">
    <cfRule type="expression" priority="1" dxfId="0">
      <formula>AND($B2&lt;&gt;"",$D2="")</formula>
    </cfRule>
  </conditionalFormatting>
  <dataValidations count="2">
    <dataValidation sqref="C2:C1001" showDropDown="0" showInputMessage="0" showErrorMessage="0" allowBlank="1" errorTitle="Categoria" error="Escolha uma das categorias da lista." type="list">
      <formula1>"Alimentação,Casa/contas,Transporte,Saúde,Lazer,Outros"</formula1>
    </dataValidation>
    <dataValidation sqref="E2:E1001" showDropDown="0" showInputMessage="0" showErrorMessage="0" allowBlank="1" errorTitle="Pagamento" error="Escolha uma das formas de pagamento da lista." type="list">
      <formula1>"Crédito,Débito,Pix,Dinheiro,Vale-alimentação"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2" customWidth="1" min="4" max="4"/>
    <col width="18" customWidth="1" min="5" max="5"/>
    <col width="14" customWidth="1" min="6" max="6"/>
    <col width="16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6" t="inlineStr">
        <is>
          <t>Gastos Casa — resumo por fatura</t>
        </is>
      </c>
    </row>
    <row r="2">
      <c r="A2" s="2" t="inlineStr">
        <is>
          <t>Cada fatura vai do dia de fechamento (26) ao dia 25 seguinte. Itens sem valor contam só como pendentes.</t>
        </is>
      </c>
    </row>
    <row r="4">
      <c r="A4" s="1" t="inlineStr">
        <is>
          <t>Fatura (início)</t>
        </is>
      </c>
      <c r="B4" s="1" t="inlineStr">
        <is>
          <t>Total</t>
        </is>
      </c>
      <c r="C4" s="1" t="inlineStr">
        <is>
          <t>Gastos com valor</t>
        </is>
      </c>
      <c r="D4" s="1" t="inlineStr">
        <is>
          <t>Sem valor</t>
        </is>
      </c>
      <c r="E4" s="1" t="inlineStr">
        <is>
          <t>Vs. fatura anterior</t>
        </is>
      </c>
      <c r="F4" s="1" t="inlineStr">
        <is>
          <t>No vale</t>
        </is>
      </c>
      <c r="G4" s="7" t="inlineStr">
        <is>
          <t>Categoria</t>
        </is>
      </c>
      <c r="H4" s="8">
        <f>A5</f>
        <v/>
      </c>
      <c r="I4" s="8">
        <f>A6</f>
        <v/>
      </c>
      <c r="J4" s="8">
        <f>A7</f>
        <v/>
      </c>
      <c r="K4" s="8">
        <f>A8</f>
        <v/>
      </c>
      <c r="L4" s="8">
        <f>A9</f>
        <v/>
      </c>
      <c r="M4" s="8">
        <f>A10</f>
        <v/>
      </c>
      <c r="N4" s="8">
        <f>A11</f>
        <v/>
      </c>
      <c r="O4" s="8">
        <f>A12</f>
        <v/>
      </c>
      <c r="P4" s="8">
        <f>A13</f>
        <v/>
      </c>
      <c r="Q4" s="8">
        <f>A14</f>
        <v/>
      </c>
      <c r="R4" s="8">
        <f>A15</f>
        <v/>
      </c>
      <c r="S4" s="8">
        <f>A16</f>
        <v/>
      </c>
    </row>
    <row r="5">
      <c r="A5" s="9" t="n">
        <v>46321</v>
      </c>
      <c r="B5" s="5">
        <f>SUMIFS(Lançamentos!$D$2:$D$1001,Lançamentos!$A$2:$A$1001,"&gt;="&amp;A5,Lançamentos!$A$2:$A$1001,"&lt;"&amp;EDATE(A5,1))</f>
        <v/>
      </c>
      <c r="C5" s="4">
        <f>COUNTIFS(Lançamentos!$A$2:$A$1001,"&gt;="&amp;A5,Lançamentos!$A$2:$A$1001,"&lt;"&amp;EDATE(A5,1),Lançamentos!$D$2:$D$1001,"&lt;&gt;")</f>
        <v/>
      </c>
      <c r="D5" s="4">
        <f>COUNTIFS(Lançamentos!$A$2:$A$1001,"&gt;="&amp;A5,Lançamentos!$A$2:$A$1001,"&lt;"&amp;EDATE(A5,1),Lançamentos!$D$2:$D$1001,"")</f>
        <v/>
      </c>
      <c r="E5" s="5" t="inlineStr"/>
      <c r="F5" s="5">
        <f>SUMIFS(Lançamentos!$D$2:$D$1001,Lançamentos!$A$2:$A$1001,"&gt;="&amp;A5,Lançamentos!$A$2:$A$1001,"&lt;"&amp;EDATE(A5,1),Lançamentos!$E$2:$E$1001,"Vale-alimentação")</f>
        <v/>
      </c>
      <c r="G5" s="10" t="inlineStr">
        <is>
          <t>Alimentação</t>
        </is>
      </c>
      <c r="H5" s="5">
        <f>SUMIFS(Lançamentos!$D$2:$D$1001,Lançamentos!$A$2:$A$1001,"&gt;="&amp;H$4,Lançamentos!$A$2:$A$1001,"&lt;"&amp;EDATE(H$4,1),Lançamentos!$C$2:$C$1001,$G5)</f>
        <v/>
      </c>
      <c r="I5" s="5">
        <f>SUMIFS(Lançamentos!$D$2:$D$1001,Lançamentos!$A$2:$A$1001,"&gt;="&amp;I$4,Lançamentos!$A$2:$A$1001,"&lt;"&amp;EDATE(I$4,1),Lançamentos!$C$2:$C$1001,$G5)</f>
        <v/>
      </c>
      <c r="J5" s="5">
        <f>SUMIFS(Lançamentos!$D$2:$D$1001,Lançamentos!$A$2:$A$1001,"&gt;="&amp;J$4,Lançamentos!$A$2:$A$1001,"&lt;"&amp;EDATE(J$4,1),Lançamentos!$C$2:$C$1001,$G5)</f>
        <v/>
      </c>
      <c r="K5" s="5">
        <f>SUMIFS(Lançamentos!$D$2:$D$1001,Lançamentos!$A$2:$A$1001,"&gt;="&amp;K$4,Lançamentos!$A$2:$A$1001,"&lt;"&amp;EDATE(K$4,1),Lançamentos!$C$2:$C$1001,$G5)</f>
        <v/>
      </c>
      <c r="L5" s="5">
        <f>SUMIFS(Lançamentos!$D$2:$D$1001,Lançamentos!$A$2:$A$1001,"&gt;="&amp;L$4,Lançamentos!$A$2:$A$1001,"&lt;"&amp;EDATE(L$4,1),Lançamentos!$C$2:$C$1001,$G5)</f>
        <v/>
      </c>
      <c r="M5" s="5">
        <f>SUMIFS(Lançamentos!$D$2:$D$1001,Lançamentos!$A$2:$A$1001,"&gt;="&amp;M$4,Lançamentos!$A$2:$A$1001,"&lt;"&amp;EDATE(M$4,1),Lançamentos!$C$2:$C$1001,$G5)</f>
        <v/>
      </c>
      <c r="N5" s="5">
        <f>SUMIFS(Lançamentos!$D$2:$D$1001,Lançamentos!$A$2:$A$1001,"&gt;="&amp;N$4,Lançamentos!$A$2:$A$1001,"&lt;"&amp;EDATE(N$4,1),Lançamentos!$C$2:$C$1001,$G5)</f>
        <v/>
      </c>
      <c r="O5" s="5">
        <f>SUMIFS(Lançamentos!$D$2:$D$1001,Lançamentos!$A$2:$A$1001,"&gt;="&amp;O$4,Lançamentos!$A$2:$A$1001,"&lt;"&amp;EDATE(O$4,1),Lançamentos!$C$2:$C$1001,$G5)</f>
        <v/>
      </c>
      <c r="P5" s="5">
        <f>SUMIFS(Lançamentos!$D$2:$D$1001,Lançamentos!$A$2:$A$1001,"&gt;="&amp;P$4,Lançamentos!$A$2:$A$1001,"&lt;"&amp;EDATE(P$4,1),Lançamentos!$C$2:$C$1001,$G5)</f>
        <v/>
      </c>
      <c r="Q5" s="5">
        <f>SUMIFS(Lançamentos!$D$2:$D$1001,Lançamentos!$A$2:$A$1001,"&gt;="&amp;Q$4,Lançamentos!$A$2:$A$1001,"&lt;"&amp;EDATE(Q$4,1),Lançamentos!$C$2:$C$1001,$G5)</f>
        <v/>
      </c>
      <c r="R5" s="5">
        <f>SUMIFS(Lançamentos!$D$2:$D$1001,Lançamentos!$A$2:$A$1001,"&gt;="&amp;R$4,Lançamentos!$A$2:$A$1001,"&lt;"&amp;EDATE(R$4,1),Lançamentos!$C$2:$C$1001,$G5)</f>
        <v/>
      </c>
      <c r="S5" s="5">
        <f>SUMIFS(Lançamentos!$D$2:$D$1001,Lançamentos!$A$2:$A$1001,"&gt;="&amp;S$4,Lançamentos!$A$2:$A$1001,"&lt;"&amp;EDATE(S$4,1),Lançamentos!$C$2:$C$1001,$G5)</f>
        <v/>
      </c>
    </row>
    <row r="6">
      <c r="A6" s="3">
        <f>EDATE(A5,1)</f>
        <v/>
      </c>
      <c r="B6" s="5">
        <f>SUMIFS(Lançamentos!$D$2:$D$1001,Lançamentos!$A$2:$A$1001,"&gt;="&amp;A6,Lançamentos!$A$2:$A$1001,"&lt;"&amp;EDATE(A6,1))</f>
        <v/>
      </c>
      <c r="C6" s="4">
        <f>COUNTIFS(Lançamentos!$A$2:$A$1001,"&gt;="&amp;A6,Lançamentos!$A$2:$A$1001,"&lt;"&amp;EDATE(A6,1),Lançamentos!$D$2:$D$1001,"&lt;&gt;")</f>
        <v/>
      </c>
      <c r="D6" s="4">
        <f>COUNTIFS(Lançamentos!$A$2:$A$1001,"&gt;="&amp;A6,Lançamentos!$A$2:$A$1001,"&lt;"&amp;EDATE(A6,1),Lançamentos!$D$2:$D$1001,"")</f>
        <v/>
      </c>
      <c r="E6" s="5">
        <f>IF(B6=0,"",B6-B5)</f>
        <v/>
      </c>
      <c r="F6" s="5">
        <f>SUMIFS(Lançamentos!$D$2:$D$1001,Lançamentos!$A$2:$A$1001,"&gt;="&amp;A6,Lançamentos!$A$2:$A$1001,"&lt;"&amp;EDATE(A6,1),Lançamentos!$E$2:$E$1001,"Vale-alimentação")</f>
        <v/>
      </c>
      <c r="G6" s="10" t="inlineStr">
        <is>
          <t>Casa/contas</t>
        </is>
      </c>
      <c r="H6" s="5">
        <f>SUMIFS(Lançamentos!$D$2:$D$1001,Lançamentos!$A$2:$A$1001,"&gt;="&amp;H$4,Lançamentos!$A$2:$A$1001,"&lt;"&amp;EDATE(H$4,1),Lançamentos!$C$2:$C$1001,$G6)</f>
        <v/>
      </c>
      <c r="I6" s="5">
        <f>SUMIFS(Lançamentos!$D$2:$D$1001,Lançamentos!$A$2:$A$1001,"&gt;="&amp;I$4,Lançamentos!$A$2:$A$1001,"&lt;"&amp;EDATE(I$4,1),Lançamentos!$C$2:$C$1001,$G6)</f>
        <v/>
      </c>
      <c r="J6" s="5">
        <f>SUMIFS(Lançamentos!$D$2:$D$1001,Lançamentos!$A$2:$A$1001,"&gt;="&amp;J$4,Lançamentos!$A$2:$A$1001,"&lt;"&amp;EDATE(J$4,1),Lançamentos!$C$2:$C$1001,$G6)</f>
        <v/>
      </c>
      <c r="K6" s="5">
        <f>SUMIFS(Lançamentos!$D$2:$D$1001,Lançamentos!$A$2:$A$1001,"&gt;="&amp;K$4,Lançamentos!$A$2:$A$1001,"&lt;"&amp;EDATE(K$4,1),Lançamentos!$C$2:$C$1001,$G6)</f>
        <v/>
      </c>
      <c r="L6" s="5">
        <f>SUMIFS(Lançamentos!$D$2:$D$1001,Lançamentos!$A$2:$A$1001,"&gt;="&amp;L$4,Lançamentos!$A$2:$A$1001,"&lt;"&amp;EDATE(L$4,1),Lançamentos!$C$2:$C$1001,$G6)</f>
        <v/>
      </c>
      <c r="M6" s="5">
        <f>SUMIFS(Lançamentos!$D$2:$D$1001,Lançamentos!$A$2:$A$1001,"&gt;="&amp;M$4,Lançamentos!$A$2:$A$1001,"&lt;"&amp;EDATE(M$4,1),Lançamentos!$C$2:$C$1001,$G6)</f>
        <v/>
      </c>
      <c r="N6" s="5">
        <f>SUMIFS(Lançamentos!$D$2:$D$1001,Lançamentos!$A$2:$A$1001,"&gt;="&amp;N$4,Lançamentos!$A$2:$A$1001,"&lt;"&amp;EDATE(N$4,1),Lançamentos!$C$2:$C$1001,$G6)</f>
        <v/>
      </c>
      <c r="O6" s="5">
        <f>SUMIFS(Lançamentos!$D$2:$D$1001,Lançamentos!$A$2:$A$1001,"&gt;="&amp;O$4,Lançamentos!$A$2:$A$1001,"&lt;"&amp;EDATE(O$4,1),Lançamentos!$C$2:$C$1001,$G6)</f>
        <v/>
      </c>
      <c r="P6" s="5">
        <f>SUMIFS(Lançamentos!$D$2:$D$1001,Lançamentos!$A$2:$A$1001,"&gt;="&amp;P$4,Lançamentos!$A$2:$A$1001,"&lt;"&amp;EDATE(P$4,1),Lançamentos!$C$2:$C$1001,$G6)</f>
        <v/>
      </c>
      <c r="Q6" s="5">
        <f>SUMIFS(Lançamentos!$D$2:$D$1001,Lançamentos!$A$2:$A$1001,"&gt;="&amp;Q$4,Lançamentos!$A$2:$A$1001,"&lt;"&amp;EDATE(Q$4,1),Lançamentos!$C$2:$C$1001,$G6)</f>
        <v/>
      </c>
      <c r="R6" s="5">
        <f>SUMIFS(Lançamentos!$D$2:$D$1001,Lançamentos!$A$2:$A$1001,"&gt;="&amp;R$4,Lançamentos!$A$2:$A$1001,"&lt;"&amp;EDATE(R$4,1),Lançamentos!$C$2:$C$1001,$G6)</f>
        <v/>
      </c>
      <c r="S6" s="5">
        <f>SUMIFS(Lançamentos!$D$2:$D$1001,Lançamentos!$A$2:$A$1001,"&gt;="&amp;S$4,Lançamentos!$A$2:$A$1001,"&lt;"&amp;EDATE(S$4,1),Lançamentos!$C$2:$C$1001,$G6)</f>
        <v/>
      </c>
    </row>
    <row r="7">
      <c r="A7" s="3">
        <f>EDATE(A6,1)</f>
        <v/>
      </c>
      <c r="B7" s="5">
        <f>SUMIFS(Lançamentos!$D$2:$D$1001,Lançamentos!$A$2:$A$1001,"&gt;="&amp;A7,Lançamentos!$A$2:$A$1001,"&lt;"&amp;EDATE(A7,1))</f>
        <v/>
      </c>
      <c r="C7" s="4">
        <f>COUNTIFS(Lançamentos!$A$2:$A$1001,"&gt;="&amp;A7,Lançamentos!$A$2:$A$1001,"&lt;"&amp;EDATE(A7,1),Lançamentos!$D$2:$D$1001,"&lt;&gt;")</f>
        <v/>
      </c>
      <c r="D7" s="4">
        <f>COUNTIFS(Lançamentos!$A$2:$A$1001,"&gt;="&amp;A7,Lançamentos!$A$2:$A$1001,"&lt;"&amp;EDATE(A7,1),Lançamentos!$D$2:$D$1001,"")</f>
        <v/>
      </c>
      <c r="E7" s="5">
        <f>IF(B7=0,"",B7-B6)</f>
        <v/>
      </c>
      <c r="F7" s="5">
        <f>SUMIFS(Lançamentos!$D$2:$D$1001,Lançamentos!$A$2:$A$1001,"&gt;="&amp;A7,Lançamentos!$A$2:$A$1001,"&lt;"&amp;EDATE(A7,1),Lançamentos!$E$2:$E$1001,"Vale-alimentação")</f>
        <v/>
      </c>
      <c r="G7" s="10" t="inlineStr">
        <is>
          <t>Transporte</t>
        </is>
      </c>
      <c r="H7" s="5">
        <f>SUMIFS(Lançamentos!$D$2:$D$1001,Lançamentos!$A$2:$A$1001,"&gt;="&amp;H$4,Lançamentos!$A$2:$A$1001,"&lt;"&amp;EDATE(H$4,1),Lançamentos!$C$2:$C$1001,$G7)</f>
        <v/>
      </c>
      <c r="I7" s="5">
        <f>SUMIFS(Lançamentos!$D$2:$D$1001,Lançamentos!$A$2:$A$1001,"&gt;="&amp;I$4,Lançamentos!$A$2:$A$1001,"&lt;"&amp;EDATE(I$4,1),Lançamentos!$C$2:$C$1001,$G7)</f>
        <v/>
      </c>
      <c r="J7" s="5">
        <f>SUMIFS(Lançamentos!$D$2:$D$1001,Lançamentos!$A$2:$A$1001,"&gt;="&amp;J$4,Lançamentos!$A$2:$A$1001,"&lt;"&amp;EDATE(J$4,1),Lançamentos!$C$2:$C$1001,$G7)</f>
        <v/>
      </c>
      <c r="K7" s="5">
        <f>SUMIFS(Lançamentos!$D$2:$D$1001,Lançamentos!$A$2:$A$1001,"&gt;="&amp;K$4,Lançamentos!$A$2:$A$1001,"&lt;"&amp;EDATE(K$4,1),Lançamentos!$C$2:$C$1001,$G7)</f>
        <v/>
      </c>
      <c r="L7" s="5">
        <f>SUMIFS(Lançamentos!$D$2:$D$1001,Lançamentos!$A$2:$A$1001,"&gt;="&amp;L$4,Lançamentos!$A$2:$A$1001,"&lt;"&amp;EDATE(L$4,1),Lançamentos!$C$2:$C$1001,$G7)</f>
        <v/>
      </c>
      <c r="M7" s="5">
        <f>SUMIFS(Lançamentos!$D$2:$D$1001,Lançamentos!$A$2:$A$1001,"&gt;="&amp;M$4,Lançamentos!$A$2:$A$1001,"&lt;"&amp;EDATE(M$4,1),Lançamentos!$C$2:$C$1001,$G7)</f>
        <v/>
      </c>
      <c r="N7" s="5">
        <f>SUMIFS(Lançamentos!$D$2:$D$1001,Lançamentos!$A$2:$A$1001,"&gt;="&amp;N$4,Lançamentos!$A$2:$A$1001,"&lt;"&amp;EDATE(N$4,1),Lançamentos!$C$2:$C$1001,$G7)</f>
        <v/>
      </c>
      <c r="O7" s="5">
        <f>SUMIFS(Lançamentos!$D$2:$D$1001,Lançamentos!$A$2:$A$1001,"&gt;="&amp;O$4,Lançamentos!$A$2:$A$1001,"&lt;"&amp;EDATE(O$4,1),Lançamentos!$C$2:$C$1001,$G7)</f>
        <v/>
      </c>
      <c r="P7" s="5">
        <f>SUMIFS(Lançamentos!$D$2:$D$1001,Lançamentos!$A$2:$A$1001,"&gt;="&amp;P$4,Lançamentos!$A$2:$A$1001,"&lt;"&amp;EDATE(P$4,1),Lançamentos!$C$2:$C$1001,$G7)</f>
        <v/>
      </c>
      <c r="Q7" s="5">
        <f>SUMIFS(Lançamentos!$D$2:$D$1001,Lançamentos!$A$2:$A$1001,"&gt;="&amp;Q$4,Lançamentos!$A$2:$A$1001,"&lt;"&amp;EDATE(Q$4,1),Lançamentos!$C$2:$C$1001,$G7)</f>
        <v/>
      </c>
      <c r="R7" s="5">
        <f>SUMIFS(Lançamentos!$D$2:$D$1001,Lançamentos!$A$2:$A$1001,"&gt;="&amp;R$4,Lançamentos!$A$2:$A$1001,"&lt;"&amp;EDATE(R$4,1),Lançamentos!$C$2:$C$1001,$G7)</f>
        <v/>
      </c>
      <c r="S7" s="5">
        <f>SUMIFS(Lançamentos!$D$2:$D$1001,Lançamentos!$A$2:$A$1001,"&gt;="&amp;S$4,Lançamentos!$A$2:$A$1001,"&lt;"&amp;EDATE(S$4,1),Lançamentos!$C$2:$C$1001,$G7)</f>
        <v/>
      </c>
    </row>
    <row r="8">
      <c r="A8" s="3">
        <f>EDATE(A7,1)</f>
        <v/>
      </c>
      <c r="B8" s="5">
        <f>SUMIFS(Lançamentos!$D$2:$D$1001,Lançamentos!$A$2:$A$1001,"&gt;="&amp;A8,Lançamentos!$A$2:$A$1001,"&lt;"&amp;EDATE(A8,1))</f>
        <v/>
      </c>
      <c r="C8" s="4">
        <f>COUNTIFS(Lançamentos!$A$2:$A$1001,"&gt;="&amp;A8,Lançamentos!$A$2:$A$1001,"&lt;"&amp;EDATE(A8,1),Lançamentos!$D$2:$D$1001,"&lt;&gt;")</f>
        <v/>
      </c>
      <c r="D8" s="4">
        <f>COUNTIFS(Lançamentos!$A$2:$A$1001,"&gt;="&amp;A8,Lançamentos!$A$2:$A$1001,"&lt;"&amp;EDATE(A8,1),Lançamentos!$D$2:$D$1001,"")</f>
        <v/>
      </c>
      <c r="E8" s="5">
        <f>IF(B8=0,"",B8-B7)</f>
        <v/>
      </c>
      <c r="F8" s="5">
        <f>SUMIFS(Lançamentos!$D$2:$D$1001,Lançamentos!$A$2:$A$1001,"&gt;="&amp;A8,Lançamentos!$A$2:$A$1001,"&lt;"&amp;EDATE(A8,1),Lançamentos!$E$2:$E$1001,"Vale-alimentação")</f>
        <v/>
      </c>
      <c r="G8" s="10" t="inlineStr">
        <is>
          <t>Saúde</t>
        </is>
      </c>
      <c r="H8" s="5">
        <f>SUMIFS(Lançamentos!$D$2:$D$1001,Lançamentos!$A$2:$A$1001,"&gt;="&amp;H$4,Lançamentos!$A$2:$A$1001,"&lt;"&amp;EDATE(H$4,1),Lançamentos!$C$2:$C$1001,$G8)</f>
        <v/>
      </c>
      <c r="I8" s="5">
        <f>SUMIFS(Lançamentos!$D$2:$D$1001,Lançamentos!$A$2:$A$1001,"&gt;="&amp;I$4,Lançamentos!$A$2:$A$1001,"&lt;"&amp;EDATE(I$4,1),Lançamentos!$C$2:$C$1001,$G8)</f>
        <v/>
      </c>
      <c r="J8" s="5">
        <f>SUMIFS(Lançamentos!$D$2:$D$1001,Lançamentos!$A$2:$A$1001,"&gt;="&amp;J$4,Lançamentos!$A$2:$A$1001,"&lt;"&amp;EDATE(J$4,1),Lançamentos!$C$2:$C$1001,$G8)</f>
        <v/>
      </c>
      <c r="K8" s="5">
        <f>SUMIFS(Lançamentos!$D$2:$D$1001,Lançamentos!$A$2:$A$1001,"&gt;="&amp;K$4,Lançamentos!$A$2:$A$1001,"&lt;"&amp;EDATE(K$4,1),Lançamentos!$C$2:$C$1001,$G8)</f>
        <v/>
      </c>
      <c r="L8" s="5">
        <f>SUMIFS(Lançamentos!$D$2:$D$1001,Lançamentos!$A$2:$A$1001,"&gt;="&amp;L$4,Lançamentos!$A$2:$A$1001,"&lt;"&amp;EDATE(L$4,1),Lançamentos!$C$2:$C$1001,$G8)</f>
        <v/>
      </c>
      <c r="M8" s="5">
        <f>SUMIFS(Lançamentos!$D$2:$D$1001,Lançamentos!$A$2:$A$1001,"&gt;="&amp;M$4,Lançamentos!$A$2:$A$1001,"&lt;"&amp;EDATE(M$4,1),Lançamentos!$C$2:$C$1001,$G8)</f>
        <v/>
      </c>
      <c r="N8" s="5">
        <f>SUMIFS(Lançamentos!$D$2:$D$1001,Lançamentos!$A$2:$A$1001,"&gt;="&amp;N$4,Lançamentos!$A$2:$A$1001,"&lt;"&amp;EDATE(N$4,1),Lançamentos!$C$2:$C$1001,$G8)</f>
        <v/>
      </c>
      <c r="O8" s="5">
        <f>SUMIFS(Lançamentos!$D$2:$D$1001,Lançamentos!$A$2:$A$1001,"&gt;="&amp;O$4,Lançamentos!$A$2:$A$1001,"&lt;"&amp;EDATE(O$4,1),Lançamentos!$C$2:$C$1001,$G8)</f>
        <v/>
      </c>
      <c r="P8" s="5">
        <f>SUMIFS(Lançamentos!$D$2:$D$1001,Lançamentos!$A$2:$A$1001,"&gt;="&amp;P$4,Lançamentos!$A$2:$A$1001,"&lt;"&amp;EDATE(P$4,1),Lançamentos!$C$2:$C$1001,$G8)</f>
        <v/>
      </c>
      <c r="Q8" s="5">
        <f>SUMIFS(Lançamentos!$D$2:$D$1001,Lançamentos!$A$2:$A$1001,"&gt;="&amp;Q$4,Lançamentos!$A$2:$A$1001,"&lt;"&amp;EDATE(Q$4,1),Lançamentos!$C$2:$C$1001,$G8)</f>
        <v/>
      </c>
      <c r="R8" s="5">
        <f>SUMIFS(Lançamentos!$D$2:$D$1001,Lançamentos!$A$2:$A$1001,"&gt;="&amp;R$4,Lançamentos!$A$2:$A$1001,"&lt;"&amp;EDATE(R$4,1),Lançamentos!$C$2:$C$1001,$G8)</f>
        <v/>
      </c>
      <c r="S8" s="5">
        <f>SUMIFS(Lançamentos!$D$2:$D$1001,Lançamentos!$A$2:$A$1001,"&gt;="&amp;S$4,Lançamentos!$A$2:$A$1001,"&lt;"&amp;EDATE(S$4,1),Lançamentos!$C$2:$C$1001,$G8)</f>
        <v/>
      </c>
    </row>
    <row r="9">
      <c r="A9" s="3">
        <f>EDATE(A8,1)</f>
        <v/>
      </c>
      <c r="B9" s="5">
        <f>SUMIFS(Lançamentos!$D$2:$D$1001,Lançamentos!$A$2:$A$1001,"&gt;="&amp;A9,Lançamentos!$A$2:$A$1001,"&lt;"&amp;EDATE(A9,1))</f>
        <v/>
      </c>
      <c r="C9" s="4">
        <f>COUNTIFS(Lançamentos!$A$2:$A$1001,"&gt;="&amp;A9,Lançamentos!$A$2:$A$1001,"&lt;"&amp;EDATE(A9,1),Lançamentos!$D$2:$D$1001,"&lt;&gt;")</f>
        <v/>
      </c>
      <c r="D9" s="4">
        <f>COUNTIFS(Lançamentos!$A$2:$A$1001,"&gt;="&amp;A9,Lançamentos!$A$2:$A$1001,"&lt;"&amp;EDATE(A9,1),Lançamentos!$D$2:$D$1001,"")</f>
        <v/>
      </c>
      <c r="E9" s="5">
        <f>IF(B9=0,"",B9-B8)</f>
        <v/>
      </c>
      <c r="F9" s="5">
        <f>SUMIFS(Lançamentos!$D$2:$D$1001,Lançamentos!$A$2:$A$1001,"&gt;="&amp;A9,Lançamentos!$A$2:$A$1001,"&lt;"&amp;EDATE(A9,1),Lançamentos!$E$2:$E$1001,"Vale-alimentação")</f>
        <v/>
      </c>
      <c r="G9" s="10" t="inlineStr">
        <is>
          <t>Lazer</t>
        </is>
      </c>
      <c r="H9" s="5">
        <f>SUMIFS(Lançamentos!$D$2:$D$1001,Lançamentos!$A$2:$A$1001,"&gt;="&amp;H$4,Lançamentos!$A$2:$A$1001,"&lt;"&amp;EDATE(H$4,1),Lançamentos!$C$2:$C$1001,$G9)</f>
        <v/>
      </c>
      <c r="I9" s="5">
        <f>SUMIFS(Lançamentos!$D$2:$D$1001,Lançamentos!$A$2:$A$1001,"&gt;="&amp;I$4,Lançamentos!$A$2:$A$1001,"&lt;"&amp;EDATE(I$4,1),Lançamentos!$C$2:$C$1001,$G9)</f>
        <v/>
      </c>
      <c r="J9" s="5">
        <f>SUMIFS(Lançamentos!$D$2:$D$1001,Lançamentos!$A$2:$A$1001,"&gt;="&amp;J$4,Lançamentos!$A$2:$A$1001,"&lt;"&amp;EDATE(J$4,1),Lançamentos!$C$2:$C$1001,$G9)</f>
        <v/>
      </c>
      <c r="K9" s="5">
        <f>SUMIFS(Lançamentos!$D$2:$D$1001,Lançamentos!$A$2:$A$1001,"&gt;="&amp;K$4,Lançamentos!$A$2:$A$1001,"&lt;"&amp;EDATE(K$4,1),Lançamentos!$C$2:$C$1001,$G9)</f>
        <v/>
      </c>
      <c r="L9" s="5">
        <f>SUMIFS(Lançamentos!$D$2:$D$1001,Lançamentos!$A$2:$A$1001,"&gt;="&amp;L$4,Lançamentos!$A$2:$A$1001,"&lt;"&amp;EDATE(L$4,1),Lançamentos!$C$2:$C$1001,$G9)</f>
        <v/>
      </c>
      <c r="M9" s="5">
        <f>SUMIFS(Lançamentos!$D$2:$D$1001,Lançamentos!$A$2:$A$1001,"&gt;="&amp;M$4,Lançamentos!$A$2:$A$1001,"&lt;"&amp;EDATE(M$4,1),Lançamentos!$C$2:$C$1001,$G9)</f>
        <v/>
      </c>
      <c r="N9" s="5">
        <f>SUMIFS(Lançamentos!$D$2:$D$1001,Lançamentos!$A$2:$A$1001,"&gt;="&amp;N$4,Lançamentos!$A$2:$A$1001,"&lt;"&amp;EDATE(N$4,1),Lançamentos!$C$2:$C$1001,$G9)</f>
        <v/>
      </c>
      <c r="O9" s="5">
        <f>SUMIFS(Lançamentos!$D$2:$D$1001,Lançamentos!$A$2:$A$1001,"&gt;="&amp;O$4,Lançamentos!$A$2:$A$1001,"&lt;"&amp;EDATE(O$4,1),Lançamentos!$C$2:$C$1001,$G9)</f>
        <v/>
      </c>
      <c r="P9" s="5">
        <f>SUMIFS(Lançamentos!$D$2:$D$1001,Lançamentos!$A$2:$A$1001,"&gt;="&amp;P$4,Lançamentos!$A$2:$A$1001,"&lt;"&amp;EDATE(P$4,1),Lançamentos!$C$2:$C$1001,$G9)</f>
        <v/>
      </c>
      <c r="Q9" s="5">
        <f>SUMIFS(Lançamentos!$D$2:$D$1001,Lançamentos!$A$2:$A$1001,"&gt;="&amp;Q$4,Lançamentos!$A$2:$A$1001,"&lt;"&amp;EDATE(Q$4,1),Lançamentos!$C$2:$C$1001,$G9)</f>
        <v/>
      </c>
      <c r="R9" s="5">
        <f>SUMIFS(Lançamentos!$D$2:$D$1001,Lançamentos!$A$2:$A$1001,"&gt;="&amp;R$4,Lançamentos!$A$2:$A$1001,"&lt;"&amp;EDATE(R$4,1),Lançamentos!$C$2:$C$1001,$G9)</f>
        <v/>
      </c>
      <c r="S9" s="5">
        <f>SUMIFS(Lançamentos!$D$2:$D$1001,Lançamentos!$A$2:$A$1001,"&gt;="&amp;S$4,Lançamentos!$A$2:$A$1001,"&lt;"&amp;EDATE(S$4,1),Lançamentos!$C$2:$C$1001,$G9)</f>
        <v/>
      </c>
    </row>
    <row r="10">
      <c r="A10" s="3">
        <f>EDATE(A9,1)</f>
        <v/>
      </c>
      <c r="B10" s="5">
        <f>SUMIFS(Lançamentos!$D$2:$D$1001,Lançamentos!$A$2:$A$1001,"&gt;="&amp;A10,Lançamentos!$A$2:$A$1001,"&lt;"&amp;EDATE(A10,1))</f>
        <v/>
      </c>
      <c r="C10" s="4">
        <f>COUNTIFS(Lançamentos!$A$2:$A$1001,"&gt;="&amp;A10,Lançamentos!$A$2:$A$1001,"&lt;"&amp;EDATE(A10,1),Lançamentos!$D$2:$D$1001,"&lt;&gt;")</f>
        <v/>
      </c>
      <c r="D10" s="4">
        <f>COUNTIFS(Lançamentos!$A$2:$A$1001,"&gt;="&amp;A10,Lançamentos!$A$2:$A$1001,"&lt;"&amp;EDATE(A10,1),Lançamentos!$D$2:$D$1001,"")</f>
        <v/>
      </c>
      <c r="E10" s="5">
        <f>IF(B10=0,"",B10-B9)</f>
        <v/>
      </c>
      <c r="F10" s="5">
        <f>SUMIFS(Lançamentos!$D$2:$D$1001,Lançamentos!$A$2:$A$1001,"&gt;="&amp;A10,Lançamentos!$A$2:$A$1001,"&lt;"&amp;EDATE(A10,1),Lançamentos!$E$2:$E$1001,"Vale-alimentação")</f>
        <v/>
      </c>
      <c r="G10" s="10" t="inlineStr">
        <is>
          <t>Outros</t>
        </is>
      </c>
      <c r="H10" s="5">
        <f>SUMIFS(Lançamentos!$D$2:$D$1001,Lançamentos!$A$2:$A$1001,"&gt;="&amp;H$4,Lançamentos!$A$2:$A$1001,"&lt;"&amp;EDATE(H$4,1),Lançamentos!$C$2:$C$1001,$G10)</f>
        <v/>
      </c>
      <c r="I10" s="5">
        <f>SUMIFS(Lançamentos!$D$2:$D$1001,Lançamentos!$A$2:$A$1001,"&gt;="&amp;I$4,Lançamentos!$A$2:$A$1001,"&lt;"&amp;EDATE(I$4,1),Lançamentos!$C$2:$C$1001,$G10)</f>
        <v/>
      </c>
      <c r="J10" s="5">
        <f>SUMIFS(Lançamentos!$D$2:$D$1001,Lançamentos!$A$2:$A$1001,"&gt;="&amp;J$4,Lançamentos!$A$2:$A$1001,"&lt;"&amp;EDATE(J$4,1),Lançamentos!$C$2:$C$1001,$G10)</f>
        <v/>
      </c>
      <c r="K10" s="5">
        <f>SUMIFS(Lançamentos!$D$2:$D$1001,Lançamentos!$A$2:$A$1001,"&gt;="&amp;K$4,Lançamentos!$A$2:$A$1001,"&lt;"&amp;EDATE(K$4,1),Lançamentos!$C$2:$C$1001,$G10)</f>
        <v/>
      </c>
      <c r="L10" s="5">
        <f>SUMIFS(Lançamentos!$D$2:$D$1001,Lançamentos!$A$2:$A$1001,"&gt;="&amp;L$4,Lançamentos!$A$2:$A$1001,"&lt;"&amp;EDATE(L$4,1),Lançamentos!$C$2:$C$1001,$G10)</f>
        <v/>
      </c>
      <c r="M10" s="5">
        <f>SUMIFS(Lançamentos!$D$2:$D$1001,Lançamentos!$A$2:$A$1001,"&gt;="&amp;M$4,Lançamentos!$A$2:$A$1001,"&lt;"&amp;EDATE(M$4,1),Lançamentos!$C$2:$C$1001,$G10)</f>
        <v/>
      </c>
      <c r="N10" s="5">
        <f>SUMIFS(Lançamentos!$D$2:$D$1001,Lançamentos!$A$2:$A$1001,"&gt;="&amp;N$4,Lançamentos!$A$2:$A$1001,"&lt;"&amp;EDATE(N$4,1),Lançamentos!$C$2:$C$1001,$G10)</f>
        <v/>
      </c>
      <c r="O10" s="5">
        <f>SUMIFS(Lançamentos!$D$2:$D$1001,Lançamentos!$A$2:$A$1001,"&gt;="&amp;O$4,Lançamentos!$A$2:$A$1001,"&lt;"&amp;EDATE(O$4,1),Lançamentos!$C$2:$C$1001,$G10)</f>
        <v/>
      </c>
      <c r="P10" s="5">
        <f>SUMIFS(Lançamentos!$D$2:$D$1001,Lançamentos!$A$2:$A$1001,"&gt;="&amp;P$4,Lançamentos!$A$2:$A$1001,"&lt;"&amp;EDATE(P$4,1),Lançamentos!$C$2:$C$1001,$G10)</f>
        <v/>
      </c>
      <c r="Q10" s="5">
        <f>SUMIFS(Lançamentos!$D$2:$D$1001,Lançamentos!$A$2:$A$1001,"&gt;="&amp;Q$4,Lançamentos!$A$2:$A$1001,"&lt;"&amp;EDATE(Q$4,1),Lançamentos!$C$2:$C$1001,$G10)</f>
        <v/>
      </c>
      <c r="R10" s="5">
        <f>SUMIFS(Lançamentos!$D$2:$D$1001,Lançamentos!$A$2:$A$1001,"&gt;="&amp;R$4,Lançamentos!$A$2:$A$1001,"&lt;"&amp;EDATE(R$4,1),Lançamentos!$C$2:$C$1001,$G10)</f>
        <v/>
      </c>
      <c r="S10" s="5">
        <f>SUMIFS(Lançamentos!$D$2:$D$1001,Lançamentos!$A$2:$A$1001,"&gt;="&amp;S$4,Lançamentos!$A$2:$A$1001,"&lt;"&amp;EDATE(S$4,1),Lançamentos!$C$2:$C$1001,$G10)</f>
        <v/>
      </c>
    </row>
    <row r="11">
      <c r="A11" s="3">
        <f>EDATE(A10,1)</f>
        <v/>
      </c>
      <c r="B11" s="5">
        <f>SUMIFS(Lançamentos!$D$2:$D$1001,Lançamentos!$A$2:$A$1001,"&gt;="&amp;A11,Lançamentos!$A$2:$A$1001,"&lt;"&amp;EDATE(A11,1))</f>
        <v/>
      </c>
      <c r="C11" s="4">
        <f>COUNTIFS(Lançamentos!$A$2:$A$1001,"&gt;="&amp;A11,Lançamentos!$A$2:$A$1001,"&lt;"&amp;EDATE(A11,1),Lançamentos!$D$2:$D$1001,"&lt;&gt;")</f>
        <v/>
      </c>
      <c r="D11" s="4">
        <f>COUNTIFS(Lançamentos!$A$2:$A$1001,"&gt;="&amp;A11,Lançamentos!$A$2:$A$1001,"&lt;"&amp;EDATE(A11,1),Lançamentos!$D$2:$D$1001,"")</f>
        <v/>
      </c>
      <c r="E11" s="5">
        <f>IF(B11=0,"",B11-B10)</f>
        <v/>
      </c>
      <c r="F11" s="5">
        <f>SUMIFS(Lançamentos!$D$2:$D$1001,Lançamentos!$A$2:$A$1001,"&gt;="&amp;A11,Lançamentos!$A$2:$A$1001,"&lt;"&amp;EDATE(A11,1),Lançamentos!$E$2:$E$1001,"Vale-alimentação")</f>
        <v/>
      </c>
      <c r="G11" s="11" t="inlineStr">
        <is>
          <t>Total</t>
        </is>
      </c>
      <c r="H11" s="12">
        <f>SUM(H5:H10)</f>
        <v/>
      </c>
      <c r="I11" s="12">
        <f>SUM(I5:I10)</f>
        <v/>
      </c>
      <c r="J11" s="12">
        <f>SUM(J5:J10)</f>
        <v/>
      </c>
      <c r="K11" s="12">
        <f>SUM(K5:K10)</f>
        <v/>
      </c>
      <c r="L11" s="12">
        <f>SUM(L5:L10)</f>
        <v/>
      </c>
      <c r="M11" s="12">
        <f>SUM(M5:M10)</f>
        <v/>
      </c>
      <c r="N11" s="12">
        <f>SUM(N5:N10)</f>
        <v/>
      </c>
      <c r="O11" s="12">
        <f>SUM(O5:O10)</f>
        <v/>
      </c>
      <c r="P11" s="12">
        <f>SUM(P5:P10)</f>
        <v/>
      </c>
      <c r="Q11" s="12">
        <f>SUM(Q5:Q10)</f>
        <v/>
      </c>
      <c r="R11" s="12">
        <f>SUM(R5:R10)</f>
        <v/>
      </c>
      <c r="S11" s="12">
        <f>SUM(S5:S10)</f>
        <v/>
      </c>
    </row>
    <row r="12">
      <c r="A12" s="3">
        <f>EDATE(A11,1)</f>
        <v/>
      </c>
      <c r="B12" s="5">
        <f>SUMIFS(Lançamentos!$D$2:$D$1001,Lançamentos!$A$2:$A$1001,"&gt;="&amp;A12,Lançamentos!$A$2:$A$1001,"&lt;"&amp;EDATE(A12,1))</f>
        <v/>
      </c>
      <c r="C12" s="4">
        <f>COUNTIFS(Lançamentos!$A$2:$A$1001,"&gt;="&amp;A12,Lançamentos!$A$2:$A$1001,"&lt;"&amp;EDATE(A12,1),Lançamentos!$D$2:$D$1001,"&lt;&gt;")</f>
        <v/>
      </c>
      <c r="D12" s="4">
        <f>COUNTIFS(Lançamentos!$A$2:$A$1001,"&gt;="&amp;A12,Lançamentos!$A$2:$A$1001,"&lt;"&amp;EDATE(A12,1),Lançamentos!$D$2:$D$1001,"")</f>
        <v/>
      </c>
      <c r="E12" s="5">
        <f>IF(B12=0,"",B12-B11)</f>
        <v/>
      </c>
      <c r="F12" s="5">
        <f>SUMIFS(Lançamentos!$D$2:$D$1001,Lançamentos!$A$2:$A$1001,"&gt;="&amp;A12,Lançamentos!$A$2:$A$1001,"&lt;"&amp;EDATE(A12,1),Lançamentos!$E$2:$E$1001,"Vale-alimentação")</f>
        <v/>
      </c>
    </row>
    <row r="13">
      <c r="A13" s="3">
        <f>EDATE(A12,1)</f>
        <v/>
      </c>
      <c r="B13" s="5">
        <f>SUMIFS(Lançamentos!$D$2:$D$1001,Lançamentos!$A$2:$A$1001,"&gt;="&amp;A13,Lançamentos!$A$2:$A$1001,"&lt;"&amp;EDATE(A13,1))</f>
        <v/>
      </c>
      <c r="C13" s="4">
        <f>COUNTIFS(Lançamentos!$A$2:$A$1001,"&gt;="&amp;A13,Lançamentos!$A$2:$A$1001,"&lt;"&amp;EDATE(A13,1),Lançamentos!$D$2:$D$1001,"&lt;&gt;")</f>
        <v/>
      </c>
      <c r="D13" s="4">
        <f>COUNTIFS(Lançamentos!$A$2:$A$1001,"&gt;="&amp;A13,Lançamentos!$A$2:$A$1001,"&lt;"&amp;EDATE(A13,1),Lançamentos!$D$2:$D$1001,"")</f>
        <v/>
      </c>
      <c r="E13" s="5">
        <f>IF(B13=0,"",B13-B12)</f>
        <v/>
      </c>
      <c r="F13" s="5">
        <f>SUMIFS(Lançamentos!$D$2:$D$1001,Lançamentos!$A$2:$A$1001,"&gt;="&amp;A13,Lançamentos!$A$2:$A$1001,"&lt;"&amp;EDATE(A13,1),Lançamentos!$E$2:$E$1001,"Vale-alimentação")</f>
        <v/>
      </c>
      <c r="G13" s="2" t="inlineStr">
        <is>
          <t>Fatura atual</t>
        </is>
      </c>
      <c r="H13" s="13">
        <f>Planejamento!$B$7</f>
        <v/>
      </c>
    </row>
    <row r="14">
      <c r="A14" s="3">
        <f>EDATE(A13,1)</f>
        <v/>
      </c>
      <c r="B14" s="5">
        <f>SUMIFS(Lançamentos!$D$2:$D$1001,Lançamentos!$A$2:$A$1001,"&gt;="&amp;A14,Lançamentos!$A$2:$A$1001,"&lt;"&amp;EDATE(A14,1))</f>
        <v/>
      </c>
      <c r="C14" s="4">
        <f>COUNTIFS(Lançamentos!$A$2:$A$1001,"&gt;="&amp;A14,Lançamentos!$A$2:$A$1001,"&lt;"&amp;EDATE(A14,1),Lançamentos!$D$2:$D$1001,"&lt;&gt;")</f>
        <v/>
      </c>
      <c r="D14" s="4">
        <f>COUNTIFS(Lançamentos!$A$2:$A$1001,"&gt;="&amp;A14,Lançamentos!$A$2:$A$1001,"&lt;"&amp;EDATE(A14,1),Lançamentos!$D$2:$D$1001,"")</f>
        <v/>
      </c>
      <c r="E14" s="5">
        <f>IF(B14=0,"",B14-B13)</f>
        <v/>
      </c>
      <c r="F14" s="5">
        <f>SUMIFS(Lançamentos!$D$2:$D$1001,Lançamentos!$A$2:$A$1001,"&gt;="&amp;A14,Lançamentos!$A$2:$A$1001,"&lt;"&amp;EDATE(A14,1),Lançamentos!$E$2:$E$1001,"Vale-alimentação")</f>
        <v/>
      </c>
      <c r="G14" s="10">
        <f>G5</f>
        <v/>
      </c>
      <c r="H14" s="14">
        <f>INDEX($H5:$S5,MATCH($H$13,$H$4:$S$4,0))</f>
        <v/>
      </c>
    </row>
    <row r="15">
      <c r="A15" s="3">
        <f>EDATE(A14,1)</f>
        <v/>
      </c>
      <c r="B15" s="5">
        <f>SUMIFS(Lançamentos!$D$2:$D$1001,Lançamentos!$A$2:$A$1001,"&gt;="&amp;A15,Lançamentos!$A$2:$A$1001,"&lt;"&amp;EDATE(A15,1))</f>
        <v/>
      </c>
      <c r="C15" s="4">
        <f>COUNTIFS(Lançamentos!$A$2:$A$1001,"&gt;="&amp;A15,Lançamentos!$A$2:$A$1001,"&lt;"&amp;EDATE(A15,1),Lançamentos!$D$2:$D$1001,"&lt;&gt;")</f>
        <v/>
      </c>
      <c r="D15" s="4">
        <f>COUNTIFS(Lançamentos!$A$2:$A$1001,"&gt;="&amp;A15,Lançamentos!$A$2:$A$1001,"&lt;"&amp;EDATE(A15,1),Lançamentos!$D$2:$D$1001,"")</f>
        <v/>
      </c>
      <c r="E15" s="5">
        <f>IF(B15=0,"",B15-B14)</f>
        <v/>
      </c>
      <c r="F15" s="5">
        <f>SUMIFS(Lançamentos!$D$2:$D$1001,Lançamentos!$A$2:$A$1001,"&gt;="&amp;A15,Lançamentos!$A$2:$A$1001,"&lt;"&amp;EDATE(A15,1),Lançamentos!$E$2:$E$1001,"Vale-alimentação")</f>
        <v/>
      </c>
      <c r="G15" s="10">
        <f>G6</f>
        <v/>
      </c>
      <c r="H15" s="14">
        <f>INDEX($H6:$S6,MATCH($H$13,$H$4:$S$4,0))</f>
        <v/>
      </c>
    </row>
    <row r="16">
      <c r="A16" s="3">
        <f>EDATE(A15,1)</f>
        <v/>
      </c>
      <c r="B16" s="5">
        <f>SUMIFS(Lançamentos!$D$2:$D$1001,Lançamentos!$A$2:$A$1001,"&gt;="&amp;A16,Lançamentos!$A$2:$A$1001,"&lt;"&amp;EDATE(A16,1))</f>
        <v/>
      </c>
      <c r="C16" s="4">
        <f>COUNTIFS(Lançamentos!$A$2:$A$1001,"&gt;="&amp;A16,Lançamentos!$A$2:$A$1001,"&lt;"&amp;EDATE(A16,1),Lançamentos!$D$2:$D$1001,"&lt;&gt;")</f>
        <v/>
      </c>
      <c r="D16" s="4">
        <f>COUNTIFS(Lançamentos!$A$2:$A$1001,"&gt;="&amp;A16,Lançamentos!$A$2:$A$1001,"&lt;"&amp;EDATE(A16,1),Lançamentos!$D$2:$D$1001,"")</f>
        <v/>
      </c>
      <c r="E16" s="5">
        <f>IF(B16=0,"",B16-B15)</f>
        <v/>
      </c>
      <c r="F16" s="5">
        <f>SUMIFS(Lançamentos!$D$2:$D$1001,Lançamentos!$A$2:$A$1001,"&gt;="&amp;A16,Lançamentos!$A$2:$A$1001,"&lt;"&amp;EDATE(A16,1),Lançamentos!$E$2:$E$1001,"Vale-alimentação")</f>
        <v/>
      </c>
      <c r="G16" s="10">
        <f>G7</f>
        <v/>
      </c>
      <c r="H16" s="14">
        <f>INDEX($H7:$S7,MATCH($H$13,$H$4:$S$4,0))</f>
        <v/>
      </c>
    </row>
    <row r="17">
      <c r="G17" s="10">
        <f>G8</f>
        <v/>
      </c>
      <c r="H17" s="14">
        <f>INDEX($H8:$S8,MATCH($H$13,$H$4:$S$4,0))</f>
        <v/>
      </c>
    </row>
    <row r="18">
      <c r="G18" s="10">
        <f>G9</f>
        <v/>
      </c>
      <c r="H18" s="14">
        <f>INDEX($H9:$S9,MATCH($H$13,$H$4:$S$4,0))</f>
        <v/>
      </c>
    </row>
    <row r="19">
      <c r="G19" s="10">
        <f>G10</f>
        <v/>
      </c>
      <c r="H19" s="14">
        <f>INDEX($H10:$S10,MATCH($H$13,$H$4:$S$4,0))</f>
        <v/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28" customWidth="1" min="5" max="5"/>
    <col width="14" customWidth="1" min="6" max="6"/>
  </cols>
  <sheetData>
    <row r="1">
      <c r="A1" s="6" t="inlineStr">
        <is>
          <t>Planejamento futuro</t>
        </is>
      </c>
    </row>
    <row r="2">
      <c r="A2" s="2" t="inlineStr">
        <is>
          <t>Quanto separar por fatura no ritmo atual. Células amarelas são para vocês editarem.</t>
        </is>
      </c>
    </row>
    <row r="3">
      <c r="E3" s="15" t="inlineStr">
        <is>
          <t>Gastos fixos mensais fora do grupo</t>
        </is>
      </c>
    </row>
    <row r="4">
      <c r="A4" s="10" t="inlineStr">
        <is>
          <t>Margem de segurança</t>
        </is>
      </c>
      <c r="B4" s="16" t="n">
        <v>0.1</v>
      </c>
      <c r="E4" s="17" t="inlineStr">
        <is>
          <t>Descrição</t>
        </is>
      </c>
      <c r="F4" s="17" t="inlineStr">
        <is>
          <t>Valor por mês</t>
        </is>
      </c>
    </row>
    <row r="5">
      <c r="A5" s="10" t="inlineStr">
        <is>
          <t>Dia de fechamento da fatura</t>
        </is>
      </c>
      <c r="B5" s="18" t="n">
        <v>26</v>
      </c>
      <c r="E5" s="19" t="n"/>
      <c r="F5" s="20" t="n"/>
    </row>
    <row r="6">
      <c r="A6" s="10" t="inlineStr">
        <is>
          <t>Vale-alimentação por mês</t>
        </is>
      </c>
      <c r="B6" s="21" t="n"/>
      <c r="E6" s="19" t="n"/>
      <c r="F6" s="20" t="n"/>
    </row>
    <row r="7">
      <c r="A7" s="10" t="inlineStr">
        <is>
          <t>Fatura atual (início)</t>
        </is>
      </c>
      <c r="B7" s="3">
        <f>IF(COUNT(Lançamentos!$A$2:$A$1001)=0,Resumo!$A$5,DATE(YEAR(MAX(Lançamentos!$A$2:$A$1001)),MONTH(MAX(Lançamentos!$A$2:$A$1001))-IF(DAY(MAX(Lançamentos!$A$2:$A$1001))&lt;B5,1,0),B5))</f>
        <v/>
      </c>
      <c r="E7" s="19" t="n"/>
      <c r="F7" s="20" t="n"/>
    </row>
    <row r="8">
      <c r="A8" s="10" t="inlineStr">
        <is>
          <t>Fatura atual (fim)</t>
        </is>
      </c>
      <c r="B8" s="3">
        <f>EDATE(B7,1)-1</f>
        <v/>
      </c>
      <c r="E8" s="19" t="n"/>
      <c r="F8" s="20" t="n"/>
    </row>
    <row r="9">
      <c r="A9" s="10" t="inlineStr">
        <is>
          <t>Gasto na fatura atual</t>
        </is>
      </c>
      <c r="B9" s="5">
        <f>SUMIFS(Lançamentos!$D$2:$D$1001,Lançamentos!$A$2:$A$1001,"&gt;="&amp;B7,Lançamentos!$A$2:$A$1001,"&lt;="&amp;B8)</f>
        <v/>
      </c>
      <c r="E9" s="19" t="n"/>
      <c r="F9" s="20" t="n"/>
    </row>
    <row r="10">
      <c r="A10" s="10" t="inlineStr">
        <is>
          <t>Dias com anotações</t>
        </is>
      </c>
      <c r="B10" s="22">
        <f>IF(COUNT(Lançamentos!$A$2:$A$1001)=0,0,MAX(Lançamentos!$A$2:$A$1001)-B7+1)</f>
        <v/>
      </c>
      <c r="E10" s="19" t="n"/>
      <c r="F10" s="20" t="n"/>
    </row>
    <row r="11">
      <c r="A11" s="10" t="inlineStr">
        <is>
          <t>Dias na fatura</t>
        </is>
      </c>
      <c r="B11" s="22">
        <f>B8-B7+1</f>
        <v/>
      </c>
      <c r="E11" s="19" t="n"/>
      <c r="F11" s="20" t="n"/>
    </row>
    <row r="12">
      <c r="A12" s="10" t="inlineStr">
        <is>
          <t>Média por dia</t>
        </is>
      </c>
      <c r="B12" s="5">
        <f>IF(B10=0,0,B9/B10)</f>
        <v/>
      </c>
      <c r="E12" s="19" t="n"/>
      <c r="F12" s="20" t="n"/>
    </row>
    <row r="13">
      <c r="A13" s="10" t="inlineStr">
        <is>
          <t>Projeção da fatura</t>
        </is>
      </c>
      <c r="B13" s="5">
        <f>B9+B12*(B11-B10)</f>
        <v/>
      </c>
      <c r="E13" s="19" t="n"/>
      <c r="F13" s="20" t="n"/>
    </row>
    <row r="14">
      <c r="A14" s="10" t="inlineStr">
        <is>
          <t>Faturas anteriores usadas</t>
        </is>
      </c>
      <c r="B14" s="22">
        <f>COUNTIFS(Resumo!$A$5:$A$16,"&gt;="&amp;EDATE(B7,-3),Resumo!$A$5:$A$16,"&lt;"&amp;B7,Resumo!$B$5:$B$16,"&gt;0")</f>
        <v/>
      </c>
      <c r="E14" s="19" t="n"/>
      <c r="F14" s="20" t="n"/>
    </row>
    <row r="15">
      <c r="A15" s="10" t="inlineStr">
        <is>
          <t>Média por fatura (gastos do grupo)</t>
        </is>
      </c>
      <c r="B15" s="5">
        <f>IF(B14=0,B13,AVERAGEIFS(Resumo!$B$5:$B$16,Resumo!$A$5:$A$16,"&gt;="&amp;EDATE(B7,-3),Resumo!$A$5:$A$16,"&lt;"&amp;B7,Resumo!$B$5:$B$16,"&gt;0"))</f>
        <v/>
      </c>
      <c r="E15" s="19" t="n"/>
      <c r="F15" s="20" t="n"/>
    </row>
    <row r="16">
      <c r="A16" s="10" t="inlineStr">
        <is>
          <t>Gastos fixos fora do grupo</t>
        </is>
      </c>
      <c r="B16" s="5">
        <f>SUM(F5:F24)</f>
        <v/>
      </c>
      <c r="E16" s="19" t="n"/>
      <c r="F16" s="20" t="n"/>
    </row>
    <row r="17">
      <c r="A17" s="23" t="inlineStr">
        <is>
          <t>Separar por fatura</t>
        </is>
      </c>
      <c r="B17" s="24">
        <f>(B15+B16)*(1+B4)</f>
        <v/>
      </c>
      <c r="E17" s="19" t="n"/>
      <c r="F17" s="20" t="n"/>
    </row>
    <row r="18">
      <c r="A18" s="10" t="inlineStr">
        <is>
          <t>Gasto no vale nesta fatura</t>
        </is>
      </c>
      <c r="B18" s="5">
        <f>SUMIFS(Lançamentos!$D$2:$D$1001,Lançamentos!$A$2:$A$1001,"&gt;="&amp;B7,Lançamentos!$A$2:$A$1001,"&lt;="&amp;B8,Lançamentos!$E$2:$E$1001,"Vale-alimentação")</f>
        <v/>
      </c>
      <c r="E18" s="19" t="n"/>
      <c r="F18" s="20" t="n"/>
    </row>
    <row r="19">
      <c r="A19" s="10" t="inlineStr">
        <is>
          <t>Saldo do vale</t>
        </is>
      </c>
      <c r="B19" s="5">
        <f>IF(B6="","Preencha o valor do vale",B6-B18)</f>
        <v/>
      </c>
      <c r="E19" s="19" t="n"/>
      <c r="F19" s="20" t="n"/>
    </row>
    <row r="20">
      <c r="E20" s="19" t="n"/>
      <c r="F20" s="20" t="n"/>
    </row>
    <row r="21">
      <c r="A21" s="15" t="inlineStr">
        <is>
          <t>Reserva por horizonte</t>
        </is>
      </c>
      <c r="E21" s="19" t="n"/>
      <c r="F21" s="20" t="n"/>
    </row>
    <row r="22">
      <c r="A22" s="1" t="inlineStr">
        <is>
          <t>Horizonte</t>
        </is>
      </c>
      <c r="B22" s="1" t="inlineStr">
        <is>
          <t>Sem margem</t>
        </is>
      </c>
      <c r="C22" s="1" t="inlineStr">
        <is>
          <t>Com margem</t>
        </is>
      </c>
      <c r="E22" s="19" t="n"/>
      <c r="F22" s="20" t="n"/>
    </row>
    <row r="23">
      <c r="A23" s="10" t="inlineStr">
        <is>
          <t>1 fatura</t>
        </is>
      </c>
      <c r="B23" s="5">
        <f>(B$15+B$16)*D23</f>
        <v/>
      </c>
      <c r="C23" s="5">
        <f>B$17*D23</f>
        <v/>
      </c>
      <c r="D23" s="25" t="n">
        <v>1</v>
      </c>
      <c r="E23" s="19" t="n"/>
      <c r="F23" s="20" t="n"/>
    </row>
    <row r="24">
      <c r="A24" s="10" t="inlineStr">
        <is>
          <t>3 faturas</t>
        </is>
      </c>
      <c r="B24" s="5">
        <f>(B$15+B$16)*D24</f>
        <v/>
      </c>
      <c r="C24" s="5">
        <f>B$17*D24</f>
        <v/>
      </c>
      <c r="D24" s="25" t="n">
        <v>3</v>
      </c>
      <c r="E24" s="19" t="n"/>
      <c r="F24" s="20" t="n"/>
    </row>
    <row r="25">
      <c r="A25" s="10" t="inlineStr">
        <is>
          <t>6 faturas</t>
        </is>
      </c>
      <c r="B25" s="5">
        <f>(B$15+B$16)*D25</f>
        <v/>
      </c>
      <c r="C25" s="5">
        <f>B$17*D25</f>
        <v/>
      </c>
      <c r="D25" s="25" t="n">
        <v>6</v>
      </c>
      <c r="E25" s="2" t="inlineStr">
        <is>
          <t>Preencham aqui aluguel, condomínio, plano de saúde etc. (ex.: Aluguel | 1.800,00).</t>
        </is>
      </c>
    </row>
    <row r="26">
      <c r="A26" s="10" t="inlineStr">
        <is>
          <t>12 faturas</t>
        </is>
      </c>
      <c r="B26" s="5">
        <f>(B$15+B$16)*D26</f>
        <v/>
      </c>
      <c r="C26" s="5">
        <f>B$17*D26</f>
        <v/>
      </c>
      <c r="D26" s="25" t="n">
        <v>12</v>
      </c>
    </row>
    <row r="27">
      <c r="A27" s="2" t="inlineStr">
        <is>
          <t>Estimativa fica mais confiável a cada fatura completa anotada.</t>
        </is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2026-10-27T17:12:15Z</dcterms:created>
  <dcterms:modified xmlns:dcterms="http://purl.org/dc/terms/" xmlns:xsi="http://www.w3.org/2001/XMLSchema-instance" xsi:type="dcterms:W3CDTF">2026-10-27T17:12:15Z</dcterms:modified>
</cp:coreProperties>
</file>