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nç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lanejamento" sheetId="3" state="visible" r:id="rId3"/>
  </sheets>
  <definedNames>
    <definedName name="_xlnm._FilterDatabase" localSheetId="0" hidden="1">'Lançamentos'!$A$1:$F$1001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;-&quot;R$&quot; #,##0.00;&quot;-&quot;"/>
    <numFmt numFmtId="166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F6B66"/>
      <sz val="9"/>
    </font>
    <font>
      <name val="Arial"/>
      <b val="1"/>
      <color rgb="001E6B52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1E6B52"/>
      <sz val="12"/>
    </font>
    <font>
      <name val="Arial"/>
      <b val="1"/>
      <sz val="12"/>
    </font>
    <font>
      <name val="Arial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E6B52"/>
      </patternFill>
    </fill>
    <fill>
      <patternFill patternType="solid">
        <fgColor rgb="00E3F1EA"/>
      </patternFill>
    </fill>
    <fill>
      <patternFill patternType="solid">
        <fgColor rgb="006B4599"/>
      </patternFill>
    </fill>
    <fill>
      <patternFill patternType="solid">
        <fgColor rgb="00EDE6F5"/>
      </patternFill>
    </fill>
    <fill>
      <patternFill patternType="solid">
        <fgColor rgb="003366A6"/>
      </patternFill>
    </fill>
    <fill>
      <patternFill patternType="solid">
        <fgColor rgb="00E6EDF7"/>
      </patternFill>
    </fill>
    <fill>
      <patternFill patternType="solid">
        <fgColor rgb="00EDF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5DBD8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164" fontId="6" fillId="0" borderId="1" pivotButton="0" quotePrefix="0" xfId="0"/>
    <xf numFmtId="165" fontId="5" fillId="0" borderId="1" pivotButton="0" quotePrefix="0" xfId="0"/>
    <xf numFmtId="0" fontId="7" fillId="0" borderId="0" pivotButton="0" quotePrefix="0" xfId="0"/>
    <xf numFmtId="0" fontId="5" fillId="8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7" borderId="0" pivotButton="0" quotePrefix="0" xfId="0"/>
    <xf numFmtId="0" fontId="5" fillId="0" borderId="1" pivotButton="0" quotePrefix="0" xfId="0"/>
    <xf numFmtId="0" fontId="2" fillId="0" borderId="0" pivotButton="0" quotePrefix="0" xfId="0"/>
    <xf numFmtId="9" fontId="6" fillId="9" borderId="1" pivotButton="0" quotePrefix="0" xfId="0"/>
    <xf numFmtId="0" fontId="1" fillId="2" borderId="0" pivotButton="0" quotePrefix="0" xfId="0"/>
    <xf numFmtId="1" fontId="6" fillId="9" borderId="1" pivotButton="0" quotePrefix="0" xfId="0"/>
    <xf numFmtId="0" fontId="6" fillId="9" borderId="0" pivotButton="0" quotePrefix="0" xfId="0"/>
    <xf numFmtId="165" fontId="6" fillId="9" borderId="0" pivotButton="0" quotePrefix="0" xfId="0"/>
    <xf numFmtId="1" fontId="2" fillId="0" borderId="1" pivotButton="0" quotePrefix="0" xfId="0"/>
    <xf numFmtId="0" fontId="8" fillId="3" borderId="0" pivotButton="0" quotePrefix="0" xfId="0"/>
    <xf numFmtId="165" fontId="8" fillId="3" borderId="1" pivotButton="0" quotePrefix="0" xfId="0"/>
    <xf numFmtId="165" fontId="6" fillId="9" borderId="1" pivotButton="0" quotePrefix="0" xfId="0"/>
    <xf numFmtId="49" fontId="2" fillId="0" borderId="1" pivotButton="0" quotePrefix="0" xfId="0"/>
    <xf numFmtId="165" fontId="3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CE8B2"/>
        </patternFill>
      </fill>
    </dxf>
    <dxf>
      <fill>
        <patternFill patternType="solid">
          <fgColor rgb="00F8CBAD"/>
        </patternFill>
      </fill>
    </dxf>
    <dxf>
      <font>
        <color rgb="00BF1A1A"/>
      </font>
    </dxf>
    <dxf>
      <font>
        <b val="1"/>
        <color rgb="00BF1A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Fatura do cartão por período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Vale-alimentação: gasto e saldo por período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'Resumo'!H5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'Resumo'!$H$6:$H$17</f>
            </numRef>
          </val>
        </ser>
        <ser>
          <idx val="1"/>
          <order val="1"/>
          <tx>
            <strRef>
              <f>'Resumo'!I5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'Resumo'!$I$6:$I$17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Quanto juntar para cartão + conta (com margem)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'Planejamento'!C32</f>
            </strRef>
          </tx>
          <spPr>
            <a:ln xmlns:a="http://schemas.openxmlformats.org/drawingml/2006/main">
              <a:prstDash val="solid"/>
            </a:ln>
          </spPr>
          <cat>
            <numRef>
              <f>'Planejamento'!$A$33:$A$36</f>
            </numRef>
          </cat>
          <val>
            <numRef>
              <f>'Planejamento'!$C$33:$C$36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Gastos Casa</author>
  </authors>
  <commentList>
    <comment ref="A6" authorId="0" shapeId="0">
      <text>
        <t>Início da primeira fatura anotada (26/10/2026, fechamento dos cartões). As seguintes são calculadas.</t>
      </text>
    </comment>
  </commentList>
</comments>
</file>

<file path=xl/comments/comment2.xml><?xml version="1.0" encoding="utf-8"?>
<comments xmlns="http://schemas.openxmlformats.org/spreadsheetml/2006/main">
  <authors>
    <author>Gastos Casa</author>
  </authors>
  <commentList>
    <comment ref="B4" authorId="0" shapeId="0">
      <text>
        <t>Edite: quanto a mais separar além da média.</t>
      </text>
    </comment>
    <comment ref="B5" authorId="0" shapeId="0">
      <text>
        <t>Dia em que a fatura dos cartões fecha.</t>
      </text>
    </comment>
    <comment ref="B6" authorId="0" shapeId="0">
      <text>
        <t>Fatura do gasto mais recente.</t>
      </text>
    </comment>
    <comment ref="B9" authorId="0" shapeId="0">
      <text>
        <t>Do dia 26 até o gasto mais recente.</t>
      </text>
    </comment>
    <comment ref="B11" authorId="0" shapeId="0">
      <text>
        <t>Vai para a fatura que vocês pagam no mês seguinte.</t>
      </text>
    </comment>
    <comment ref="B15" authorId="0" shapeId="0">
      <text>
        <t>Gasto até agora + média por dia × dias que faltam.</t>
      </text>
    </comment>
    <comment ref="B16" authorId="0" shapeId="0">
      <text>
        <t>Até 3 faturas antes da atual, com gastos.</t>
      </text>
    </comment>
    <comment ref="B17" authorId="0" shapeId="0">
      <text>
        <t>Sem faturas anteriores ainda, usa a projeção da atual.</t>
      </text>
    </comment>
    <comment ref="B18" authorId="0" shapeId="0">
      <text>
        <t>Soma da tabela ao lado.</t>
      </text>
    </comment>
    <comment ref="B19" authorId="0" shapeId="0">
      <text>
        <t>(Média cartão + conta + fixos) × (1 + margem). O vale fica de fora.</t>
      </text>
    </comment>
    <comment ref="B22" authorId="0" shapeId="0">
      <text>
        <t>Valor que cai no vale-alimentação por mês.</t>
      </text>
    </comment>
    <comment ref="B23" authorId="0" shapeId="0">
      <text>
        <t>Compras marcadas com (banri).</t>
      </text>
    </comment>
    <comment ref="B26" authorId="0" shapeId="0">
      <text>
        <t>Valor do vale menos o gasto projetado no ritmo atual.</t>
      </text>
    </comment>
    <comment ref="B29" authorId="0" shapeId="0">
      <text>
        <t>Cartão + vale + conta, só para referência.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30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4" customWidth="1" min="4" max="4"/>
    <col width="13" customWidth="1" min="5" max="5"/>
    <col width="14" customWidth="1" min="6" max="6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Categoria</t>
        </is>
      </c>
      <c r="D1" s="1" t="inlineStr">
        <is>
          <t>Valor</t>
        </is>
      </c>
      <c r="E1" s="1" t="inlineStr">
        <is>
          <t>Pagamento</t>
        </is>
      </c>
      <c r="F1" s="1" t="inlineStr">
        <is>
          <t>Anotado por</t>
        </is>
      </c>
      <c r="H1" s="2" t="inlineStr">
        <is>
          <t>Linhas amarelas estão sem valor e não entram nos totais. (banri) = Vale-alimentação.</t>
        </is>
      </c>
    </row>
    <row r="2">
      <c r="A2" s="3" t="n"/>
      <c r="B2" s="4" t="n"/>
      <c r="C2" s="4" t="n"/>
      <c r="D2" s="5" t="n"/>
      <c r="E2" s="4" t="n"/>
      <c r="F2" s="4" t="n"/>
    </row>
    <row r="3">
      <c r="A3" s="3" t="n"/>
      <c r="B3" s="4" t="n"/>
      <c r="C3" s="4" t="n"/>
      <c r="D3" s="5" t="n"/>
      <c r="E3" s="4" t="n"/>
      <c r="F3" s="4" t="n"/>
    </row>
    <row r="4">
      <c r="A4" s="3" t="n"/>
      <c r="B4" s="4" t="n"/>
      <c r="C4" s="4" t="n"/>
      <c r="D4" s="5" t="n"/>
      <c r="E4" s="4" t="n"/>
      <c r="F4" s="4" t="n"/>
    </row>
    <row r="5">
      <c r="A5" s="3" t="n"/>
      <c r="B5" s="4" t="n"/>
      <c r="C5" s="4" t="n"/>
      <c r="D5" s="5" t="n"/>
      <c r="E5" s="4" t="n"/>
      <c r="F5" s="4" t="n"/>
    </row>
    <row r="6">
      <c r="A6" s="3" t="n"/>
      <c r="B6" s="4" t="n"/>
      <c r="C6" s="4" t="n"/>
      <c r="D6" s="5" t="n"/>
      <c r="E6" s="4" t="n"/>
      <c r="F6" s="4" t="n"/>
    </row>
    <row r="7">
      <c r="A7" s="3" t="n"/>
      <c r="B7" s="4" t="n"/>
      <c r="C7" s="4" t="n"/>
      <c r="D7" s="5" t="n"/>
      <c r="E7" s="4" t="n"/>
      <c r="F7" s="4" t="n"/>
    </row>
    <row r="8">
      <c r="A8" s="3" t="n"/>
      <c r="B8" s="4" t="n"/>
      <c r="C8" s="4" t="n"/>
      <c r="D8" s="5" t="n"/>
      <c r="E8" s="4" t="n"/>
      <c r="F8" s="4" t="n"/>
    </row>
    <row r="9">
      <c r="A9" s="3" t="n"/>
      <c r="B9" s="4" t="n"/>
      <c r="C9" s="4" t="n"/>
      <c r="D9" s="5" t="n"/>
      <c r="E9" s="4" t="n"/>
      <c r="F9" s="4" t="n"/>
    </row>
    <row r="10">
      <c r="A10" s="3" t="n"/>
      <c r="B10" s="4" t="n"/>
      <c r="C10" s="4" t="n"/>
      <c r="D10" s="5" t="n"/>
      <c r="E10" s="4" t="n"/>
      <c r="F10" s="4" t="n"/>
    </row>
    <row r="11">
      <c r="A11" s="3" t="n"/>
      <c r="B11" s="4" t="n"/>
      <c r="C11" s="4" t="n"/>
      <c r="D11" s="5" t="n"/>
      <c r="E11" s="4" t="n"/>
      <c r="F11" s="4" t="n"/>
    </row>
    <row r="12">
      <c r="A12" s="3" t="n"/>
      <c r="B12" s="4" t="n"/>
      <c r="C12" s="4" t="n"/>
      <c r="D12" s="5" t="n"/>
      <c r="E12" s="4" t="n"/>
      <c r="F12" s="4" t="n"/>
    </row>
    <row r="13">
      <c r="A13" s="3" t="n"/>
      <c r="B13" s="4" t="n"/>
      <c r="C13" s="4" t="n"/>
      <c r="D13" s="5" t="n"/>
      <c r="E13" s="4" t="n"/>
      <c r="F13" s="4" t="n"/>
    </row>
    <row r="14">
      <c r="A14" s="3" t="n"/>
      <c r="B14" s="4" t="n"/>
      <c r="C14" s="4" t="n"/>
      <c r="D14" s="5" t="n"/>
      <c r="E14" s="4" t="n"/>
      <c r="F14" s="4" t="n"/>
    </row>
    <row r="15">
      <c r="A15" s="3" t="n"/>
      <c r="B15" s="4" t="n"/>
      <c r="C15" s="4" t="n"/>
      <c r="D15" s="5" t="n"/>
      <c r="E15" s="4" t="n"/>
      <c r="F15" s="4" t="n"/>
    </row>
    <row r="16">
      <c r="A16" s="3" t="n"/>
      <c r="B16" s="4" t="n"/>
      <c r="C16" s="4" t="n"/>
      <c r="D16" s="5" t="n"/>
      <c r="E16" s="4" t="n"/>
      <c r="F16" s="4" t="n"/>
    </row>
    <row r="17">
      <c r="A17" s="3" t="n"/>
      <c r="B17" s="4" t="n"/>
      <c r="C17" s="4" t="n"/>
      <c r="D17" s="5" t="n"/>
      <c r="E17" s="4" t="n"/>
      <c r="F17" s="4" t="n"/>
    </row>
    <row r="18">
      <c r="A18" s="3" t="n"/>
      <c r="B18" s="4" t="n"/>
      <c r="C18" s="4" t="n"/>
      <c r="D18" s="5" t="n"/>
      <c r="E18" s="4" t="n"/>
      <c r="F18" s="4" t="n"/>
    </row>
    <row r="19">
      <c r="A19" s="3" t="n"/>
      <c r="B19" s="4" t="n"/>
      <c r="C19" s="4" t="n"/>
      <c r="D19" s="5" t="n"/>
      <c r="E19" s="4" t="n"/>
      <c r="F19" s="4" t="n"/>
    </row>
    <row r="20">
      <c r="A20" s="3" t="n"/>
      <c r="B20" s="4" t="n"/>
      <c r="C20" s="4" t="n"/>
      <c r="D20" s="5" t="n"/>
      <c r="E20" s="4" t="n"/>
      <c r="F20" s="4" t="n"/>
    </row>
    <row r="21">
      <c r="A21" s="3" t="n"/>
      <c r="B21" s="4" t="n"/>
      <c r="C21" s="4" t="n"/>
      <c r="D21" s="5" t="n"/>
      <c r="E21" s="4" t="n"/>
      <c r="F21" s="4" t="n"/>
    </row>
    <row r="22">
      <c r="A22" s="3" t="n"/>
      <c r="B22" s="4" t="n"/>
      <c r="C22" s="4" t="n"/>
      <c r="D22" s="5" t="n"/>
      <c r="E22" s="4" t="n"/>
      <c r="F22" s="4" t="n"/>
    </row>
    <row r="23">
      <c r="A23" s="3" t="n"/>
      <c r="B23" s="4" t="n"/>
      <c r="C23" s="4" t="n"/>
      <c r="D23" s="5" t="n"/>
      <c r="E23" s="4" t="n"/>
      <c r="F23" s="4" t="n"/>
    </row>
    <row r="24">
      <c r="A24" s="3" t="n"/>
      <c r="B24" s="4" t="n"/>
      <c r="C24" s="4" t="n"/>
      <c r="D24" s="5" t="n"/>
      <c r="E24" s="4" t="n"/>
      <c r="F24" s="4" t="n"/>
    </row>
    <row r="25">
      <c r="A25" s="3" t="n"/>
      <c r="B25" s="4" t="n"/>
      <c r="C25" s="4" t="n"/>
      <c r="D25" s="5" t="n"/>
      <c r="E25" s="4" t="n"/>
      <c r="F25" s="4" t="n"/>
    </row>
    <row r="26">
      <c r="A26" s="3" t="n"/>
      <c r="B26" s="4" t="n"/>
      <c r="C26" s="4" t="n"/>
      <c r="D26" s="5" t="n"/>
      <c r="E26" s="4" t="n"/>
      <c r="F26" s="4" t="n"/>
    </row>
    <row r="27">
      <c r="A27" s="3" t="n"/>
      <c r="B27" s="4" t="n"/>
      <c r="C27" s="4" t="n"/>
      <c r="D27" s="5" t="n"/>
      <c r="E27" s="4" t="n"/>
      <c r="F27" s="4" t="n"/>
    </row>
    <row r="28">
      <c r="A28" s="3" t="n"/>
      <c r="B28" s="4" t="n"/>
      <c r="C28" s="4" t="n"/>
      <c r="D28" s="5" t="n"/>
      <c r="E28" s="4" t="n"/>
      <c r="F28" s="4" t="n"/>
    </row>
    <row r="29">
      <c r="A29" s="3" t="n"/>
      <c r="B29" s="4" t="n"/>
      <c r="C29" s="4" t="n"/>
      <c r="D29" s="5" t="n"/>
      <c r="E29" s="4" t="n"/>
      <c r="F29" s="4" t="n"/>
    </row>
    <row r="30">
      <c r="A30" s="3" t="n"/>
      <c r="B30" s="4" t="n"/>
      <c r="C30" s="4" t="n"/>
      <c r="D30" s="5" t="n"/>
      <c r="E30" s="4" t="n"/>
      <c r="F30" s="4" t="n"/>
    </row>
    <row r="31">
      <c r="A31" s="3" t="n"/>
      <c r="B31" s="4" t="n"/>
      <c r="C31" s="4" t="n"/>
      <c r="D31" s="5" t="n"/>
      <c r="E31" s="4" t="n"/>
      <c r="F31" s="4" t="n"/>
    </row>
    <row r="32">
      <c r="A32" s="3" t="n"/>
      <c r="B32" s="4" t="n"/>
      <c r="C32" s="4" t="n"/>
      <c r="D32" s="5" t="n"/>
      <c r="E32" s="4" t="n"/>
      <c r="F32" s="4" t="n"/>
    </row>
    <row r="33">
      <c r="A33" s="3" t="n"/>
      <c r="B33" s="4" t="n"/>
      <c r="C33" s="4" t="n"/>
      <c r="D33" s="5" t="n"/>
      <c r="E33" s="4" t="n"/>
      <c r="F33" s="4" t="n"/>
    </row>
    <row r="34">
      <c r="A34" s="3" t="n"/>
      <c r="B34" s="4" t="n"/>
      <c r="C34" s="4" t="n"/>
      <c r="D34" s="5" t="n"/>
      <c r="E34" s="4" t="n"/>
      <c r="F34" s="4" t="n"/>
    </row>
    <row r="35">
      <c r="A35" s="3" t="n"/>
      <c r="B35" s="4" t="n"/>
      <c r="C35" s="4" t="n"/>
      <c r="D35" s="5" t="n"/>
      <c r="E35" s="4" t="n"/>
      <c r="F35" s="4" t="n"/>
    </row>
    <row r="36">
      <c r="A36" s="3" t="n"/>
      <c r="B36" s="4" t="n"/>
      <c r="C36" s="4" t="n"/>
      <c r="D36" s="5" t="n"/>
      <c r="E36" s="4" t="n"/>
      <c r="F36" s="4" t="n"/>
    </row>
    <row r="37">
      <c r="A37" s="3" t="n"/>
      <c r="B37" s="4" t="n"/>
      <c r="C37" s="4" t="n"/>
      <c r="D37" s="5" t="n"/>
      <c r="E37" s="4" t="n"/>
      <c r="F37" s="4" t="n"/>
    </row>
    <row r="38">
      <c r="A38" s="3" t="n"/>
      <c r="B38" s="4" t="n"/>
      <c r="C38" s="4" t="n"/>
      <c r="D38" s="5" t="n"/>
      <c r="E38" s="4" t="n"/>
      <c r="F38" s="4" t="n"/>
    </row>
    <row r="39">
      <c r="A39" s="3" t="n"/>
      <c r="B39" s="4" t="n"/>
      <c r="C39" s="4" t="n"/>
      <c r="D39" s="5" t="n"/>
      <c r="E39" s="4" t="n"/>
      <c r="F39" s="4" t="n"/>
    </row>
    <row r="40">
      <c r="A40" s="3" t="n"/>
      <c r="B40" s="4" t="n"/>
      <c r="C40" s="4" t="n"/>
      <c r="D40" s="5" t="n"/>
      <c r="E40" s="4" t="n"/>
      <c r="F40" s="4" t="n"/>
    </row>
    <row r="41">
      <c r="A41" s="3" t="n"/>
      <c r="B41" s="4" t="n"/>
      <c r="C41" s="4" t="n"/>
      <c r="D41" s="5" t="n"/>
      <c r="E41" s="4" t="n"/>
      <c r="F41" s="4" t="n"/>
    </row>
    <row r="42">
      <c r="A42" s="3" t="n"/>
      <c r="B42" s="4" t="n"/>
      <c r="C42" s="4" t="n"/>
      <c r="D42" s="5" t="n"/>
      <c r="E42" s="4" t="n"/>
      <c r="F42" s="4" t="n"/>
    </row>
    <row r="43">
      <c r="A43" s="3" t="n"/>
      <c r="B43" s="4" t="n"/>
      <c r="C43" s="4" t="n"/>
      <c r="D43" s="5" t="n"/>
      <c r="E43" s="4" t="n"/>
      <c r="F43" s="4" t="n"/>
    </row>
    <row r="44">
      <c r="A44" s="3" t="n"/>
      <c r="B44" s="4" t="n"/>
      <c r="C44" s="4" t="n"/>
      <c r="D44" s="5" t="n"/>
      <c r="E44" s="4" t="n"/>
      <c r="F44" s="4" t="n"/>
    </row>
    <row r="45">
      <c r="A45" s="3" t="n"/>
      <c r="B45" s="4" t="n"/>
      <c r="C45" s="4" t="n"/>
      <c r="D45" s="5" t="n"/>
      <c r="E45" s="4" t="n"/>
      <c r="F45" s="4" t="n"/>
    </row>
    <row r="46">
      <c r="A46" s="3" t="n"/>
      <c r="B46" s="4" t="n"/>
      <c r="C46" s="4" t="n"/>
      <c r="D46" s="5" t="n"/>
      <c r="E46" s="4" t="n"/>
      <c r="F46" s="4" t="n"/>
    </row>
    <row r="47">
      <c r="A47" s="3" t="n"/>
      <c r="B47" s="4" t="n"/>
      <c r="C47" s="4" t="n"/>
      <c r="D47" s="5" t="n"/>
      <c r="E47" s="4" t="n"/>
      <c r="F47" s="4" t="n"/>
    </row>
    <row r="48">
      <c r="A48" s="3" t="n"/>
      <c r="B48" s="4" t="n"/>
      <c r="C48" s="4" t="n"/>
      <c r="D48" s="5" t="n"/>
      <c r="E48" s="4" t="n"/>
      <c r="F48" s="4" t="n"/>
    </row>
    <row r="49">
      <c r="A49" s="3" t="n"/>
      <c r="B49" s="4" t="n"/>
      <c r="C49" s="4" t="n"/>
      <c r="D49" s="5" t="n"/>
      <c r="E49" s="4" t="n"/>
      <c r="F49" s="4" t="n"/>
    </row>
    <row r="50">
      <c r="A50" s="3" t="n"/>
      <c r="B50" s="4" t="n"/>
      <c r="C50" s="4" t="n"/>
      <c r="D50" s="5" t="n"/>
      <c r="E50" s="4" t="n"/>
      <c r="F50" s="4" t="n"/>
    </row>
    <row r="51">
      <c r="A51" s="3" t="n"/>
      <c r="B51" s="4" t="n"/>
      <c r="C51" s="4" t="n"/>
      <c r="D51" s="5" t="n"/>
      <c r="E51" s="4" t="n"/>
      <c r="F51" s="4" t="n"/>
    </row>
  </sheetData>
  <autoFilter ref="A1:F1001"/>
  <conditionalFormatting sqref="A2:F1001">
    <cfRule type="expression" priority="1" dxfId="0">
      <formula>AND($B2&lt;&gt;"",$D2="")</formula>
    </cfRule>
  </conditionalFormatting>
  <conditionalFormatting sqref="E2:E1001">
    <cfRule type="expression" priority="2" dxfId="1">
      <formula>AND($B2&lt;&gt;"",$E2="")</formula>
    </cfRule>
  </conditionalFormatting>
  <dataValidations count="2">
    <dataValidation sqref="C2:C1001" showDropDown="0" showInputMessage="0" showErrorMessage="0" allowBlank="1" errorTitle="Categoria" error="Escolha uma das categorias da lista." type="list">
      <formula1>"Alimentação,Casa/contas,Transporte,Saúde,Lazer,Outros"</formula1>
    </dataValidation>
    <dataValidation sqref="E2:E1001" showDropDown="0" showInputMessage="0" showErrorMessage="0" allowBlank="1" errorTitle="Pagamento" error="Escolha uma das formas de pagamento da lista." type="list">
      <formula1>"Crédito,Débito,Pix,Dinheiro,Vale-alimentação"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8" customWidth="1" min="11" max="11"/>
    <col width="2" customWidth="1" min="12" max="12"/>
    <col hidden="1" width="13" customWidth="1" min="13" max="13"/>
  </cols>
  <sheetData>
    <row r="1">
      <c r="A1" s="6" t="inlineStr">
        <is>
          <t>Gastos Casa — resumo por fatura</t>
        </is>
      </c>
    </row>
    <row r="2">
      <c r="A2" s="2" t="inlineStr">
        <is>
          <t>Cada bloco é um dinheiro diferente e não se soma com os outros. Cada período vai do dia 26 ao dia 25.</t>
        </is>
      </c>
    </row>
    <row r="4">
      <c r="A4" s="7" t="inlineStr">
        <is>
          <t>FATURA DO CARTÃO DE CRÉDITO — o que vocês vão pagar</t>
        </is>
      </c>
      <c r="G4" s="8" t="inlineStr">
        <is>
          <t>VALE-ALIMENTAÇÃO — saldo que a empresa coloca</t>
        </is>
      </c>
      <c r="K4" s="9" t="inlineStr">
        <is>
          <t>CONTA — Pix, débito, dinheiro</t>
        </is>
      </c>
      <c r="M4" t="inlineStr">
        <is>
          <t>Cartão + conta (usado no Planejamento)</t>
        </is>
      </c>
    </row>
    <row r="5">
      <c r="A5" s="10" t="inlineStr">
        <is>
          <t>Início</t>
        </is>
      </c>
      <c r="B5" s="10" t="inlineStr">
        <is>
          <t>Fim</t>
        </is>
      </c>
      <c r="C5" s="10" t="inlineStr">
        <is>
          <t>Valor da fatura</t>
        </is>
      </c>
      <c r="D5" s="10" t="inlineStr">
        <is>
          <t>Compras no cartão</t>
        </is>
      </c>
      <c r="E5" s="10" t="inlineStr">
        <is>
          <t>Vs. fatura anterior</t>
        </is>
      </c>
      <c r="G5" s="11" t="inlineStr">
        <is>
          <t>Crédito do vale</t>
        </is>
      </c>
      <c r="H5" s="11" t="inlineStr">
        <is>
          <t>Gasto no vale</t>
        </is>
      </c>
      <c r="I5" s="11" t="inlineStr">
        <is>
          <t>Saldo do vale</t>
        </is>
      </c>
      <c r="K5" s="12" t="inlineStr">
        <is>
          <t>Gasto na conta</t>
        </is>
      </c>
      <c r="M5" t="inlineStr">
        <is>
          <t>Cartão + conta</t>
        </is>
      </c>
    </row>
    <row r="6">
      <c r="A6" s="13" t="n">
        <v>46321</v>
      </c>
      <c r="B6" s="3">
        <f>EDATE(A6,1)-1</f>
        <v/>
      </c>
      <c r="C6" s="14">
        <f>SUMIFS(Lançamentos!$D$2:$D$1001,Lançamentos!$A$2:$A$1001,"&gt;="&amp;$A6,Lançamentos!$A$2:$A$1001,"&lt;="&amp;$B6,Lançamentos!$E$2:$E$1001,"Crédito")</f>
        <v/>
      </c>
      <c r="D6" s="4">
        <f>COUNTIFS(Lançamentos!$A$2:$A$1001,"&gt;="&amp;$A6,Lançamentos!$A$2:$A$1001,"&lt;="&amp;$B6,Lançamentos!$E$2:$E$1001,"Crédito")</f>
        <v/>
      </c>
      <c r="E6" s="5" t="inlineStr"/>
      <c r="G6" s="5">
        <f>IF($A6&gt;Planejamento!$B$6,"",Planejamento!$B$22)</f>
        <v/>
      </c>
      <c r="H6" s="5">
        <f>SUMIFS(Lançamentos!$D$2:$D$1001,Lançamentos!$A$2:$A$1001,"&gt;="&amp;$A6,Lançamentos!$A$2:$A$1001,"&lt;="&amp;$B6,Lançamentos!$E$2:$E$1001,"Vale-alimentação")</f>
        <v/>
      </c>
      <c r="I6" s="14">
        <f>IF(G6="","",G6-H6)</f>
        <v/>
      </c>
      <c r="K6" s="5">
        <f>SUMIFS(Lançamentos!$D$2:$D$1001,Lançamentos!$A$2:$A$1001,"&gt;="&amp;$A6,Lançamentos!$A$2:$A$1001,"&lt;="&amp;$B6,Lançamentos!$E$2:$E$1001,"Pix")+SUMIFS(Lançamentos!$D$2:$D$1001,Lançamentos!$A$2:$A$1001,"&gt;="&amp;$A6,Lançamentos!$A$2:$A$1001,"&lt;="&amp;$B6,Lançamentos!$E$2:$E$1001,"Débito")+SUMIFS(Lançamentos!$D$2:$D$1001,Lançamentos!$A$2:$A$1001,"&gt;="&amp;$A6,Lançamentos!$A$2:$A$1001,"&lt;="&amp;$B6,Lançamentos!$E$2:$E$1001,"Dinheiro")</f>
        <v/>
      </c>
      <c r="M6" s="5">
        <f>C6+K6</f>
        <v/>
      </c>
    </row>
    <row r="7">
      <c r="A7" s="3">
        <f>EDATE(A6,1)</f>
        <v/>
      </c>
      <c r="B7" s="3">
        <f>EDATE(A7,1)-1</f>
        <v/>
      </c>
      <c r="C7" s="14">
        <f>SUMIFS(Lançamentos!$D$2:$D$1001,Lançamentos!$A$2:$A$1001,"&gt;="&amp;$A7,Lançamentos!$A$2:$A$1001,"&lt;="&amp;$B7,Lançamentos!$E$2:$E$1001,"Crédito")</f>
        <v/>
      </c>
      <c r="D7" s="4">
        <f>COUNTIFS(Lançamentos!$A$2:$A$1001,"&gt;="&amp;$A7,Lançamentos!$A$2:$A$1001,"&lt;="&amp;$B7,Lançamentos!$E$2:$E$1001,"Crédito")</f>
        <v/>
      </c>
      <c r="E7" s="5">
        <f>IF(C7=0,"",C7-C6)</f>
        <v/>
      </c>
      <c r="G7" s="5">
        <f>IF($A7&gt;Planejamento!$B$6,"",Planejamento!$B$22)</f>
        <v/>
      </c>
      <c r="H7" s="5">
        <f>SUMIFS(Lançamentos!$D$2:$D$1001,Lançamentos!$A$2:$A$1001,"&gt;="&amp;$A7,Lançamentos!$A$2:$A$1001,"&lt;="&amp;$B7,Lançamentos!$E$2:$E$1001,"Vale-alimentação")</f>
        <v/>
      </c>
      <c r="I7" s="14">
        <f>IF(G7="","",G7-H7)</f>
        <v/>
      </c>
      <c r="K7" s="5">
        <f>SUMIFS(Lançamentos!$D$2:$D$1001,Lançamentos!$A$2:$A$1001,"&gt;="&amp;$A7,Lançamentos!$A$2:$A$1001,"&lt;="&amp;$B7,Lançamentos!$E$2:$E$1001,"Pix")+SUMIFS(Lançamentos!$D$2:$D$1001,Lançamentos!$A$2:$A$1001,"&gt;="&amp;$A7,Lançamentos!$A$2:$A$1001,"&lt;="&amp;$B7,Lançamentos!$E$2:$E$1001,"Débito")+SUMIFS(Lançamentos!$D$2:$D$1001,Lançamentos!$A$2:$A$1001,"&gt;="&amp;$A7,Lançamentos!$A$2:$A$1001,"&lt;="&amp;$B7,Lançamentos!$E$2:$E$1001,"Dinheiro")</f>
        <v/>
      </c>
      <c r="M7" s="5">
        <f>C7+K7</f>
        <v/>
      </c>
    </row>
    <row r="8">
      <c r="A8" s="3">
        <f>EDATE(A7,1)</f>
        <v/>
      </c>
      <c r="B8" s="3">
        <f>EDATE(A8,1)-1</f>
        <v/>
      </c>
      <c r="C8" s="14">
        <f>SUMIFS(Lançamentos!$D$2:$D$1001,Lançamentos!$A$2:$A$1001,"&gt;="&amp;$A8,Lançamentos!$A$2:$A$1001,"&lt;="&amp;$B8,Lançamentos!$E$2:$E$1001,"Crédito")</f>
        <v/>
      </c>
      <c r="D8" s="4">
        <f>COUNTIFS(Lançamentos!$A$2:$A$1001,"&gt;="&amp;$A8,Lançamentos!$A$2:$A$1001,"&lt;="&amp;$B8,Lançamentos!$E$2:$E$1001,"Crédito")</f>
        <v/>
      </c>
      <c r="E8" s="5">
        <f>IF(C8=0,"",C8-C7)</f>
        <v/>
      </c>
      <c r="G8" s="5">
        <f>IF($A8&gt;Planejamento!$B$6,"",Planejamento!$B$22)</f>
        <v/>
      </c>
      <c r="H8" s="5">
        <f>SUMIFS(Lançamentos!$D$2:$D$1001,Lançamentos!$A$2:$A$1001,"&gt;="&amp;$A8,Lançamentos!$A$2:$A$1001,"&lt;="&amp;$B8,Lançamentos!$E$2:$E$1001,"Vale-alimentação")</f>
        <v/>
      </c>
      <c r="I8" s="14">
        <f>IF(G8="","",G8-H8)</f>
        <v/>
      </c>
      <c r="K8" s="5">
        <f>SUMIFS(Lançamentos!$D$2:$D$1001,Lançamentos!$A$2:$A$1001,"&gt;="&amp;$A8,Lançamentos!$A$2:$A$1001,"&lt;="&amp;$B8,Lançamentos!$E$2:$E$1001,"Pix")+SUMIFS(Lançamentos!$D$2:$D$1001,Lançamentos!$A$2:$A$1001,"&gt;="&amp;$A8,Lançamentos!$A$2:$A$1001,"&lt;="&amp;$B8,Lançamentos!$E$2:$E$1001,"Débito")+SUMIFS(Lançamentos!$D$2:$D$1001,Lançamentos!$A$2:$A$1001,"&gt;="&amp;$A8,Lançamentos!$A$2:$A$1001,"&lt;="&amp;$B8,Lançamentos!$E$2:$E$1001,"Dinheiro")</f>
        <v/>
      </c>
      <c r="M8" s="5">
        <f>C8+K8</f>
        <v/>
      </c>
    </row>
    <row r="9">
      <c r="A9" s="3">
        <f>EDATE(A8,1)</f>
        <v/>
      </c>
      <c r="B9" s="3">
        <f>EDATE(A9,1)-1</f>
        <v/>
      </c>
      <c r="C9" s="14">
        <f>SUMIFS(Lançamentos!$D$2:$D$1001,Lançamentos!$A$2:$A$1001,"&gt;="&amp;$A9,Lançamentos!$A$2:$A$1001,"&lt;="&amp;$B9,Lançamentos!$E$2:$E$1001,"Crédito")</f>
        <v/>
      </c>
      <c r="D9" s="4">
        <f>COUNTIFS(Lançamentos!$A$2:$A$1001,"&gt;="&amp;$A9,Lançamentos!$A$2:$A$1001,"&lt;="&amp;$B9,Lançamentos!$E$2:$E$1001,"Crédito")</f>
        <v/>
      </c>
      <c r="E9" s="5">
        <f>IF(C9=0,"",C9-C8)</f>
        <v/>
      </c>
      <c r="G9" s="5">
        <f>IF($A9&gt;Planejamento!$B$6,"",Planejamento!$B$22)</f>
        <v/>
      </c>
      <c r="H9" s="5">
        <f>SUMIFS(Lançamentos!$D$2:$D$1001,Lançamentos!$A$2:$A$1001,"&gt;="&amp;$A9,Lançamentos!$A$2:$A$1001,"&lt;="&amp;$B9,Lançamentos!$E$2:$E$1001,"Vale-alimentação")</f>
        <v/>
      </c>
      <c r="I9" s="14">
        <f>IF(G9="","",G9-H9)</f>
        <v/>
      </c>
      <c r="K9" s="5">
        <f>SUMIFS(Lançamentos!$D$2:$D$1001,Lançamentos!$A$2:$A$1001,"&gt;="&amp;$A9,Lançamentos!$A$2:$A$1001,"&lt;="&amp;$B9,Lançamentos!$E$2:$E$1001,"Pix")+SUMIFS(Lançamentos!$D$2:$D$1001,Lançamentos!$A$2:$A$1001,"&gt;="&amp;$A9,Lançamentos!$A$2:$A$1001,"&lt;="&amp;$B9,Lançamentos!$E$2:$E$1001,"Débito")+SUMIFS(Lançamentos!$D$2:$D$1001,Lançamentos!$A$2:$A$1001,"&gt;="&amp;$A9,Lançamentos!$A$2:$A$1001,"&lt;="&amp;$B9,Lançamentos!$E$2:$E$1001,"Dinheiro")</f>
        <v/>
      </c>
      <c r="M9" s="5">
        <f>C9+K9</f>
        <v/>
      </c>
    </row>
    <row r="10">
      <c r="A10" s="3">
        <f>EDATE(A9,1)</f>
        <v/>
      </c>
      <c r="B10" s="3">
        <f>EDATE(A10,1)-1</f>
        <v/>
      </c>
      <c r="C10" s="14">
        <f>SUMIFS(Lançamentos!$D$2:$D$1001,Lançamentos!$A$2:$A$1001,"&gt;="&amp;$A10,Lançamentos!$A$2:$A$1001,"&lt;="&amp;$B10,Lançamentos!$E$2:$E$1001,"Crédito")</f>
        <v/>
      </c>
      <c r="D10" s="4">
        <f>COUNTIFS(Lançamentos!$A$2:$A$1001,"&gt;="&amp;$A10,Lançamentos!$A$2:$A$1001,"&lt;="&amp;$B10,Lançamentos!$E$2:$E$1001,"Crédito")</f>
        <v/>
      </c>
      <c r="E10" s="5">
        <f>IF(C10=0,"",C10-C9)</f>
        <v/>
      </c>
      <c r="G10" s="5">
        <f>IF($A10&gt;Planejamento!$B$6,"",Planejamento!$B$22)</f>
        <v/>
      </c>
      <c r="H10" s="5">
        <f>SUMIFS(Lançamentos!$D$2:$D$1001,Lançamentos!$A$2:$A$1001,"&gt;="&amp;$A10,Lançamentos!$A$2:$A$1001,"&lt;="&amp;$B10,Lançamentos!$E$2:$E$1001,"Vale-alimentação")</f>
        <v/>
      </c>
      <c r="I10" s="14">
        <f>IF(G10="","",G10-H10)</f>
        <v/>
      </c>
      <c r="K10" s="5">
        <f>SUMIFS(Lançamentos!$D$2:$D$1001,Lançamentos!$A$2:$A$1001,"&gt;="&amp;$A10,Lançamentos!$A$2:$A$1001,"&lt;="&amp;$B10,Lançamentos!$E$2:$E$1001,"Pix")+SUMIFS(Lançamentos!$D$2:$D$1001,Lançamentos!$A$2:$A$1001,"&gt;="&amp;$A10,Lançamentos!$A$2:$A$1001,"&lt;="&amp;$B10,Lançamentos!$E$2:$E$1001,"Débito")+SUMIFS(Lançamentos!$D$2:$D$1001,Lançamentos!$A$2:$A$1001,"&gt;="&amp;$A10,Lançamentos!$A$2:$A$1001,"&lt;="&amp;$B10,Lançamentos!$E$2:$E$1001,"Dinheiro")</f>
        <v/>
      </c>
      <c r="M10" s="5">
        <f>C10+K10</f>
        <v/>
      </c>
    </row>
    <row r="11">
      <c r="A11" s="3">
        <f>EDATE(A10,1)</f>
        <v/>
      </c>
      <c r="B11" s="3">
        <f>EDATE(A11,1)-1</f>
        <v/>
      </c>
      <c r="C11" s="14">
        <f>SUMIFS(Lançamentos!$D$2:$D$1001,Lançamentos!$A$2:$A$1001,"&gt;="&amp;$A11,Lançamentos!$A$2:$A$1001,"&lt;="&amp;$B11,Lançamentos!$E$2:$E$1001,"Crédito")</f>
        <v/>
      </c>
      <c r="D11" s="4">
        <f>COUNTIFS(Lançamentos!$A$2:$A$1001,"&gt;="&amp;$A11,Lançamentos!$A$2:$A$1001,"&lt;="&amp;$B11,Lançamentos!$E$2:$E$1001,"Crédito")</f>
        <v/>
      </c>
      <c r="E11" s="5">
        <f>IF(C11=0,"",C11-C10)</f>
        <v/>
      </c>
      <c r="G11" s="5">
        <f>IF($A11&gt;Planejamento!$B$6,"",Planejamento!$B$22)</f>
        <v/>
      </c>
      <c r="H11" s="5">
        <f>SUMIFS(Lançamentos!$D$2:$D$1001,Lançamentos!$A$2:$A$1001,"&gt;="&amp;$A11,Lançamentos!$A$2:$A$1001,"&lt;="&amp;$B11,Lançamentos!$E$2:$E$1001,"Vale-alimentação")</f>
        <v/>
      </c>
      <c r="I11" s="14">
        <f>IF(G11="","",G11-H11)</f>
        <v/>
      </c>
      <c r="K11" s="5">
        <f>SUMIFS(Lançamentos!$D$2:$D$1001,Lançamentos!$A$2:$A$1001,"&gt;="&amp;$A11,Lançamentos!$A$2:$A$1001,"&lt;="&amp;$B11,Lançamentos!$E$2:$E$1001,"Pix")+SUMIFS(Lançamentos!$D$2:$D$1001,Lançamentos!$A$2:$A$1001,"&gt;="&amp;$A11,Lançamentos!$A$2:$A$1001,"&lt;="&amp;$B11,Lançamentos!$E$2:$E$1001,"Débito")+SUMIFS(Lançamentos!$D$2:$D$1001,Lançamentos!$A$2:$A$1001,"&gt;="&amp;$A11,Lançamentos!$A$2:$A$1001,"&lt;="&amp;$B11,Lançamentos!$E$2:$E$1001,"Dinheiro")</f>
        <v/>
      </c>
      <c r="M11" s="5">
        <f>C11+K11</f>
        <v/>
      </c>
    </row>
    <row r="12">
      <c r="A12" s="3">
        <f>EDATE(A11,1)</f>
        <v/>
      </c>
      <c r="B12" s="3">
        <f>EDATE(A12,1)-1</f>
        <v/>
      </c>
      <c r="C12" s="14">
        <f>SUMIFS(Lançamentos!$D$2:$D$1001,Lançamentos!$A$2:$A$1001,"&gt;="&amp;$A12,Lançamentos!$A$2:$A$1001,"&lt;="&amp;$B12,Lançamentos!$E$2:$E$1001,"Crédito")</f>
        <v/>
      </c>
      <c r="D12" s="4">
        <f>COUNTIFS(Lançamentos!$A$2:$A$1001,"&gt;="&amp;$A12,Lançamentos!$A$2:$A$1001,"&lt;="&amp;$B12,Lançamentos!$E$2:$E$1001,"Crédito")</f>
        <v/>
      </c>
      <c r="E12" s="5">
        <f>IF(C12=0,"",C12-C11)</f>
        <v/>
      </c>
      <c r="G12" s="5">
        <f>IF($A12&gt;Planejamento!$B$6,"",Planejamento!$B$22)</f>
        <v/>
      </c>
      <c r="H12" s="5">
        <f>SUMIFS(Lançamentos!$D$2:$D$1001,Lançamentos!$A$2:$A$1001,"&gt;="&amp;$A12,Lançamentos!$A$2:$A$1001,"&lt;="&amp;$B12,Lançamentos!$E$2:$E$1001,"Vale-alimentação")</f>
        <v/>
      </c>
      <c r="I12" s="14">
        <f>IF(G12="","",G12-H12)</f>
        <v/>
      </c>
      <c r="K12" s="5">
        <f>SUMIFS(Lançamentos!$D$2:$D$1001,Lançamentos!$A$2:$A$1001,"&gt;="&amp;$A12,Lançamentos!$A$2:$A$1001,"&lt;="&amp;$B12,Lançamentos!$E$2:$E$1001,"Pix")+SUMIFS(Lançamentos!$D$2:$D$1001,Lançamentos!$A$2:$A$1001,"&gt;="&amp;$A12,Lançamentos!$A$2:$A$1001,"&lt;="&amp;$B12,Lançamentos!$E$2:$E$1001,"Débito")+SUMIFS(Lançamentos!$D$2:$D$1001,Lançamentos!$A$2:$A$1001,"&gt;="&amp;$A12,Lançamentos!$A$2:$A$1001,"&lt;="&amp;$B12,Lançamentos!$E$2:$E$1001,"Dinheiro")</f>
        <v/>
      </c>
      <c r="M12" s="5">
        <f>C12+K12</f>
        <v/>
      </c>
    </row>
    <row r="13">
      <c r="A13" s="3">
        <f>EDATE(A12,1)</f>
        <v/>
      </c>
      <c r="B13" s="3">
        <f>EDATE(A13,1)-1</f>
        <v/>
      </c>
      <c r="C13" s="14">
        <f>SUMIFS(Lançamentos!$D$2:$D$1001,Lançamentos!$A$2:$A$1001,"&gt;="&amp;$A13,Lançamentos!$A$2:$A$1001,"&lt;="&amp;$B13,Lançamentos!$E$2:$E$1001,"Crédito")</f>
        <v/>
      </c>
      <c r="D13" s="4">
        <f>COUNTIFS(Lançamentos!$A$2:$A$1001,"&gt;="&amp;$A13,Lançamentos!$A$2:$A$1001,"&lt;="&amp;$B13,Lançamentos!$E$2:$E$1001,"Crédito")</f>
        <v/>
      </c>
      <c r="E13" s="5">
        <f>IF(C13=0,"",C13-C12)</f>
        <v/>
      </c>
      <c r="G13" s="5">
        <f>IF($A13&gt;Planejamento!$B$6,"",Planejamento!$B$22)</f>
        <v/>
      </c>
      <c r="H13" s="5">
        <f>SUMIFS(Lançamentos!$D$2:$D$1001,Lançamentos!$A$2:$A$1001,"&gt;="&amp;$A13,Lançamentos!$A$2:$A$1001,"&lt;="&amp;$B13,Lançamentos!$E$2:$E$1001,"Vale-alimentação")</f>
        <v/>
      </c>
      <c r="I13" s="14">
        <f>IF(G13="","",G13-H13)</f>
        <v/>
      </c>
      <c r="K13" s="5">
        <f>SUMIFS(Lançamentos!$D$2:$D$1001,Lançamentos!$A$2:$A$1001,"&gt;="&amp;$A13,Lançamentos!$A$2:$A$1001,"&lt;="&amp;$B13,Lançamentos!$E$2:$E$1001,"Pix")+SUMIFS(Lançamentos!$D$2:$D$1001,Lançamentos!$A$2:$A$1001,"&gt;="&amp;$A13,Lançamentos!$A$2:$A$1001,"&lt;="&amp;$B13,Lançamentos!$E$2:$E$1001,"Débito")+SUMIFS(Lançamentos!$D$2:$D$1001,Lançamentos!$A$2:$A$1001,"&gt;="&amp;$A13,Lançamentos!$A$2:$A$1001,"&lt;="&amp;$B13,Lançamentos!$E$2:$E$1001,"Dinheiro")</f>
        <v/>
      </c>
      <c r="M13" s="5">
        <f>C13+K13</f>
        <v/>
      </c>
    </row>
    <row r="14">
      <c r="A14" s="3">
        <f>EDATE(A13,1)</f>
        <v/>
      </c>
      <c r="B14" s="3">
        <f>EDATE(A14,1)-1</f>
        <v/>
      </c>
      <c r="C14" s="14">
        <f>SUMIFS(Lançamentos!$D$2:$D$1001,Lançamentos!$A$2:$A$1001,"&gt;="&amp;$A14,Lançamentos!$A$2:$A$1001,"&lt;="&amp;$B14,Lançamentos!$E$2:$E$1001,"Crédito")</f>
        <v/>
      </c>
      <c r="D14" s="4">
        <f>COUNTIFS(Lançamentos!$A$2:$A$1001,"&gt;="&amp;$A14,Lançamentos!$A$2:$A$1001,"&lt;="&amp;$B14,Lançamentos!$E$2:$E$1001,"Crédito")</f>
        <v/>
      </c>
      <c r="E14" s="5">
        <f>IF(C14=0,"",C14-C13)</f>
        <v/>
      </c>
      <c r="G14" s="5">
        <f>IF($A14&gt;Planejamento!$B$6,"",Planejamento!$B$22)</f>
        <v/>
      </c>
      <c r="H14" s="5">
        <f>SUMIFS(Lançamentos!$D$2:$D$1001,Lançamentos!$A$2:$A$1001,"&gt;="&amp;$A14,Lançamentos!$A$2:$A$1001,"&lt;="&amp;$B14,Lançamentos!$E$2:$E$1001,"Vale-alimentação")</f>
        <v/>
      </c>
      <c r="I14" s="14">
        <f>IF(G14="","",G14-H14)</f>
        <v/>
      </c>
      <c r="K14" s="5">
        <f>SUMIFS(Lançamentos!$D$2:$D$1001,Lançamentos!$A$2:$A$1001,"&gt;="&amp;$A14,Lançamentos!$A$2:$A$1001,"&lt;="&amp;$B14,Lançamentos!$E$2:$E$1001,"Pix")+SUMIFS(Lançamentos!$D$2:$D$1001,Lançamentos!$A$2:$A$1001,"&gt;="&amp;$A14,Lançamentos!$A$2:$A$1001,"&lt;="&amp;$B14,Lançamentos!$E$2:$E$1001,"Débito")+SUMIFS(Lançamentos!$D$2:$D$1001,Lançamentos!$A$2:$A$1001,"&gt;="&amp;$A14,Lançamentos!$A$2:$A$1001,"&lt;="&amp;$B14,Lançamentos!$E$2:$E$1001,"Dinheiro")</f>
        <v/>
      </c>
      <c r="M14" s="5">
        <f>C14+K14</f>
        <v/>
      </c>
    </row>
    <row r="15">
      <c r="A15" s="3">
        <f>EDATE(A14,1)</f>
        <v/>
      </c>
      <c r="B15" s="3">
        <f>EDATE(A15,1)-1</f>
        <v/>
      </c>
      <c r="C15" s="14">
        <f>SUMIFS(Lançamentos!$D$2:$D$1001,Lançamentos!$A$2:$A$1001,"&gt;="&amp;$A15,Lançamentos!$A$2:$A$1001,"&lt;="&amp;$B15,Lançamentos!$E$2:$E$1001,"Crédito")</f>
        <v/>
      </c>
      <c r="D15" s="4">
        <f>COUNTIFS(Lançamentos!$A$2:$A$1001,"&gt;="&amp;$A15,Lançamentos!$A$2:$A$1001,"&lt;="&amp;$B15,Lançamentos!$E$2:$E$1001,"Crédito")</f>
        <v/>
      </c>
      <c r="E15" s="5">
        <f>IF(C15=0,"",C15-C14)</f>
        <v/>
      </c>
      <c r="G15" s="5">
        <f>IF($A15&gt;Planejamento!$B$6,"",Planejamento!$B$22)</f>
        <v/>
      </c>
      <c r="H15" s="5">
        <f>SUMIFS(Lançamentos!$D$2:$D$1001,Lançamentos!$A$2:$A$1001,"&gt;="&amp;$A15,Lançamentos!$A$2:$A$1001,"&lt;="&amp;$B15,Lançamentos!$E$2:$E$1001,"Vale-alimentação")</f>
        <v/>
      </c>
      <c r="I15" s="14">
        <f>IF(G15="","",G15-H15)</f>
        <v/>
      </c>
      <c r="K15" s="5">
        <f>SUMIFS(Lançamentos!$D$2:$D$1001,Lançamentos!$A$2:$A$1001,"&gt;="&amp;$A15,Lançamentos!$A$2:$A$1001,"&lt;="&amp;$B15,Lançamentos!$E$2:$E$1001,"Pix")+SUMIFS(Lançamentos!$D$2:$D$1001,Lançamentos!$A$2:$A$1001,"&gt;="&amp;$A15,Lançamentos!$A$2:$A$1001,"&lt;="&amp;$B15,Lançamentos!$E$2:$E$1001,"Débito")+SUMIFS(Lançamentos!$D$2:$D$1001,Lançamentos!$A$2:$A$1001,"&gt;="&amp;$A15,Lançamentos!$A$2:$A$1001,"&lt;="&amp;$B15,Lançamentos!$E$2:$E$1001,"Dinheiro")</f>
        <v/>
      </c>
      <c r="M15" s="5">
        <f>C15+K15</f>
        <v/>
      </c>
    </row>
    <row r="16">
      <c r="A16" s="3">
        <f>EDATE(A15,1)</f>
        <v/>
      </c>
      <c r="B16" s="3">
        <f>EDATE(A16,1)-1</f>
        <v/>
      </c>
      <c r="C16" s="14">
        <f>SUMIFS(Lançamentos!$D$2:$D$1001,Lançamentos!$A$2:$A$1001,"&gt;="&amp;$A16,Lançamentos!$A$2:$A$1001,"&lt;="&amp;$B16,Lançamentos!$E$2:$E$1001,"Crédito")</f>
        <v/>
      </c>
      <c r="D16" s="4">
        <f>COUNTIFS(Lançamentos!$A$2:$A$1001,"&gt;="&amp;$A16,Lançamentos!$A$2:$A$1001,"&lt;="&amp;$B16,Lançamentos!$E$2:$E$1001,"Crédito")</f>
        <v/>
      </c>
      <c r="E16" s="5">
        <f>IF(C16=0,"",C16-C15)</f>
        <v/>
      </c>
      <c r="G16" s="5">
        <f>IF($A16&gt;Planejamento!$B$6,"",Planejamento!$B$22)</f>
        <v/>
      </c>
      <c r="H16" s="5">
        <f>SUMIFS(Lançamentos!$D$2:$D$1001,Lançamentos!$A$2:$A$1001,"&gt;="&amp;$A16,Lançamentos!$A$2:$A$1001,"&lt;="&amp;$B16,Lançamentos!$E$2:$E$1001,"Vale-alimentação")</f>
        <v/>
      </c>
      <c r="I16" s="14">
        <f>IF(G16="","",G16-H16)</f>
        <v/>
      </c>
      <c r="K16" s="5">
        <f>SUMIFS(Lançamentos!$D$2:$D$1001,Lançamentos!$A$2:$A$1001,"&gt;="&amp;$A16,Lançamentos!$A$2:$A$1001,"&lt;="&amp;$B16,Lançamentos!$E$2:$E$1001,"Pix")+SUMIFS(Lançamentos!$D$2:$D$1001,Lançamentos!$A$2:$A$1001,"&gt;="&amp;$A16,Lançamentos!$A$2:$A$1001,"&lt;="&amp;$B16,Lançamentos!$E$2:$E$1001,"Débito")+SUMIFS(Lançamentos!$D$2:$D$1001,Lançamentos!$A$2:$A$1001,"&gt;="&amp;$A16,Lançamentos!$A$2:$A$1001,"&lt;="&amp;$B16,Lançamentos!$E$2:$E$1001,"Dinheiro")</f>
        <v/>
      </c>
      <c r="M16" s="5">
        <f>C16+K16</f>
        <v/>
      </c>
    </row>
    <row r="17">
      <c r="A17" s="3">
        <f>EDATE(A16,1)</f>
        <v/>
      </c>
      <c r="B17" s="3">
        <f>EDATE(A17,1)-1</f>
        <v/>
      </c>
      <c r="C17" s="14">
        <f>SUMIFS(Lançamentos!$D$2:$D$1001,Lançamentos!$A$2:$A$1001,"&gt;="&amp;$A17,Lançamentos!$A$2:$A$1001,"&lt;="&amp;$B17,Lançamentos!$E$2:$E$1001,"Crédito")</f>
        <v/>
      </c>
      <c r="D17" s="4">
        <f>COUNTIFS(Lançamentos!$A$2:$A$1001,"&gt;="&amp;$A17,Lançamentos!$A$2:$A$1001,"&lt;="&amp;$B17,Lançamentos!$E$2:$E$1001,"Crédito")</f>
        <v/>
      </c>
      <c r="E17" s="5">
        <f>IF(C17=0,"",C17-C16)</f>
        <v/>
      </c>
      <c r="G17" s="5">
        <f>IF($A17&gt;Planejamento!$B$6,"",Planejamento!$B$22)</f>
        <v/>
      </c>
      <c r="H17" s="5">
        <f>SUMIFS(Lançamentos!$D$2:$D$1001,Lançamentos!$A$2:$A$1001,"&gt;="&amp;$A17,Lançamentos!$A$2:$A$1001,"&lt;="&amp;$B17,Lançamentos!$E$2:$E$1001,"Vale-alimentação")</f>
        <v/>
      </c>
      <c r="I17" s="14">
        <f>IF(G17="","",G17-H17)</f>
        <v/>
      </c>
      <c r="K17" s="5">
        <f>SUMIFS(Lançamentos!$D$2:$D$1001,Lançamentos!$A$2:$A$1001,"&gt;="&amp;$A17,Lançamentos!$A$2:$A$1001,"&lt;="&amp;$B17,Lançamentos!$E$2:$E$1001,"Pix")+SUMIFS(Lançamentos!$D$2:$D$1001,Lançamentos!$A$2:$A$1001,"&gt;="&amp;$A17,Lançamentos!$A$2:$A$1001,"&lt;="&amp;$B17,Lançamentos!$E$2:$E$1001,"Débito")+SUMIFS(Lançamentos!$D$2:$D$1001,Lançamentos!$A$2:$A$1001,"&gt;="&amp;$A17,Lançamentos!$A$2:$A$1001,"&lt;="&amp;$B17,Lançamentos!$E$2:$E$1001,"Dinheiro")</f>
        <v/>
      </c>
      <c r="M17" s="5">
        <f>C17+K17</f>
        <v/>
      </c>
    </row>
    <row r="20">
      <c r="A20" s="15" t="inlineStr">
        <is>
          <t>Fatura atual por categoria (cada coluna é um dinheiro diferente)</t>
        </is>
      </c>
    </row>
    <row r="21">
      <c r="A21" s="16" t="inlineStr">
        <is>
          <t>Categoria</t>
        </is>
      </c>
      <c r="B21" s="17" t="inlineStr">
        <is>
          <t>Cartão</t>
        </is>
      </c>
      <c r="C21" s="18" t="inlineStr">
        <is>
          <t>Vale</t>
        </is>
      </c>
      <c r="D21" s="19" t="inlineStr">
        <is>
          <t>Conta</t>
        </is>
      </c>
    </row>
    <row r="22">
      <c r="A22" s="4" t="inlineStr">
        <is>
          <t>Alimentação</t>
        </is>
      </c>
      <c r="B22" s="5">
        <f>SUMIFS(Lançamentos!$D$2:$D$1001,Lançamentos!$A$2:$A$1001,"&gt;="&amp;Planejamento!$B$6,Lançamentos!$A$2:$A$1001,"&lt;="&amp;Planejamento!$B$7,Lançamentos!$C$2:$C$1001,$A22,Lançamentos!$E$2:$E$1001,"Crédito")</f>
        <v/>
      </c>
      <c r="C22" s="5">
        <f>SUMIFS(Lançamentos!$D$2:$D$1001,Lançamentos!$A$2:$A$1001,"&gt;="&amp;Planejamento!$B$6,Lançamentos!$A$2:$A$1001,"&lt;="&amp;Planejamento!$B$7,Lançamentos!$C$2:$C$1001,$A22,Lançamentos!$E$2:$E$1001,"Vale-alimentação")</f>
        <v/>
      </c>
      <c r="D22" s="5">
        <f>SUMIFS(Lançamentos!$D$2:$D$1001,Lançamentos!$A$2:$A$1001,"&gt;="&amp;Planejamento!$B$6,Lançamentos!$A$2:$A$1001,"&lt;="&amp;Planejamento!$B$7,Lançamentos!$C$2:$C$1001,$A22,Lançamentos!$E$2:$E$1001,"Pix")+SUMIFS(Lançamentos!$D$2:$D$1001,Lançamentos!$A$2:$A$1001,"&gt;="&amp;Planejamento!$B$6,Lançamentos!$A$2:$A$1001,"&lt;="&amp;Planejamento!$B$7,Lançamentos!$C$2:$C$1001,$A22,Lançamentos!$E$2:$E$1001,"Débito")+SUMIFS(Lançamentos!$D$2:$D$1001,Lançamentos!$A$2:$A$1001,"&gt;="&amp;Planejamento!$B$6,Lançamentos!$A$2:$A$1001,"&lt;="&amp;Planejamento!$B$7,Lançamentos!$C$2:$C$1001,$A22,Lançamentos!$E$2:$E$1001,"Dinheiro")</f>
        <v/>
      </c>
    </row>
    <row r="23">
      <c r="A23" s="4" t="inlineStr">
        <is>
          <t>Casa/contas</t>
        </is>
      </c>
      <c r="B23" s="5">
        <f>SUMIFS(Lançamentos!$D$2:$D$1001,Lançamentos!$A$2:$A$1001,"&gt;="&amp;Planejamento!$B$6,Lançamentos!$A$2:$A$1001,"&lt;="&amp;Planejamento!$B$7,Lançamentos!$C$2:$C$1001,$A23,Lançamentos!$E$2:$E$1001,"Crédito")</f>
        <v/>
      </c>
      <c r="C23" s="5">
        <f>SUMIFS(Lançamentos!$D$2:$D$1001,Lançamentos!$A$2:$A$1001,"&gt;="&amp;Planejamento!$B$6,Lançamentos!$A$2:$A$1001,"&lt;="&amp;Planejamento!$B$7,Lançamentos!$C$2:$C$1001,$A23,Lançamentos!$E$2:$E$1001,"Vale-alimentação")</f>
        <v/>
      </c>
      <c r="D23" s="5">
        <f>SUMIFS(Lançamentos!$D$2:$D$1001,Lançamentos!$A$2:$A$1001,"&gt;="&amp;Planejamento!$B$6,Lançamentos!$A$2:$A$1001,"&lt;="&amp;Planejamento!$B$7,Lançamentos!$C$2:$C$1001,$A23,Lançamentos!$E$2:$E$1001,"Pix")+SUMIFS(Lançamentos!$D$2:$D$1001,Lançamentos!$A$2:$A$1001,"&gt;="&amp;Planejamento!$B$6,Lançamentos!$A$2:$A$1001,"&lt;="&amp;Planejamento!$B$7,Lançamentos!$C$2:$C$1001,$A23,Lançamentos!$E$2:$E$1001,"Débito")+SUMIFS(Lançamentos!$D$2:$D$1001,Lançamentos!$A$2:$A$1001,"&gt;="&amp;Planejamento!$B$6,Lançamentos!$A$2:$A$1001,"&lt;="&amp;Planejamento!$B$7,Lançamentos!$C$2:$C$1001,$A23,Lançamentos!$E$2:$E$1001,"Dinheiro")</f>
        <v/>
      </c>
    </row>
    <row r="24">
      <c r="A24" s="4" t="inlineStr">
        <is>
          <t>Transporte</t>
        </is>
      </c>
      <c r="B24" s="5">
        <f>SUMIFS(Lançamentos!$D$2:$D$1001,Lançamentos!$A$2:$A$1001,"&gt;="&amp;Planejamento!$B$6,Lançamentos!$A$2:$A$1001,"&lt;="&amp;Planejamento!$B$7,Lançamentos!$C$2:$C$1001,$A24,Lançamentos!$E$2:$E$1001,"Crédito")</f>
        <v/>
      </c>
      <c r="C24" s="5">
        <f>SUMIFS(Lançamentos!$D$2:$D$1001,Lançamentos!$A$2:$A$1001,"&gt;="&amp;Planejamento!$B$6,Lançamentos!$A$2:$A$1001,"&lt;="&amp;Planejamento!$B$7,Lançamentos!$C$2:$C$1001,$A24,Lançamentos!$E$2:$E$1001,"Vale-alimentação")</f>
        <v/>
      </c>
      <c r="D24" s="5">
        <f>SUMIFS(Lançamentos!$D$2:$D$1001,Lançamentos!$A$2:$A$1001,"&gt;="&amp;Planejamento!$B$6,Lançamentos!$A$2:$A$1001,"&lt;="&amp;Planejamento!$B$7,Lançamentos!$C$2:$C$1001,$A24,Lançamentos!$E$2:$E$1001,"Pix")+SUMIFS(Lançamentos!$D$2:$D$1001,Lançamentos!$A$2:$A$1001,"&gt;="&amp;Planejamento!$B$6,Lançamentos!$A$2:$A$1001,"&lt;="&amp;Planejamento!$B$7,Lançamentos!$C$2:$C$1001,$A24,Lançamentos!$E$2:$E$1001,"Débito")+SUMIFS(Lançamentos!$D$2:$D$1001,Lançamentos!$A$2:$A$1001,"&gt;="&amp;Planejamento!$B$6,Lançamentos!$A$2:$A$1001,"&lt;="&amp;Planejamento!$B$7,Lançamentos!$C$2:$C$1001,$A24,Lançamentos!$E$2:$E$1001,"Dinheiro")</f>
        <v/>
      </c>
    </row>
    <row r="25">
      <c r="A25" s="4" t="inlineStr">
        <is>
          <t>Saúde</t>
        </is>
      </c>
      <c r="B25" s="5">
        <f>SUMIFS(Lançamentos!$D$2:$D$1001,Lançamentos!$A$2:$A$1001,"&gt;="&amp;Planejamento!$B$6,Lançamentos!$A$2:$A$1001,"&lt;="&amp;Planejamento!$B$7,Lançamentos!$C$2:$C$1001,$A25,Lançamentos!$E$2:$E$1001,"Crédito")</f>
        <v/>
      </c>
      <c r="C25" s="5">
        <f>SUMIFS(Lançamentos!$D$2:$D$1001,Lançamentos!$A$2:$A$1001,"&gt;="&amp;Planejamento!$B$6,Lançamentos!$A$2:$A$1001,"&lt;="&amp;Planejamento!$B$7,Lançamentos!$C$2:$C$1001,$A25,Lançamentos!$E$2:$E$1001,"Vale-alimentação")</f>
        <v/>
      </c>
      <c r="D25" s="5">
        <f>SUMIFS(Lançamentos!$D$2:$D$1001,Lançamentos!$A$2:$A$1001,"&gt;="&amp;Planejamento!$B$6,Lançamentos!$A$2:$A$1001,"&lt;="&amp;Planejamento!$B$7,Lançamentos!$C$2:$C$1001,$A25,Lançamentos!$E$2:$E$1001,"Pix")+SUMIFS(Lançamentos!$D$2:$D$1001,Lançamentos!$A$2:$A$1001,"&gt;="&amp;Planejamento!$B$6,Lançamentos!$A$2:$A$1001,"&lt;="&amp;Planejamento!$B$7,Lançamentos!$C$2:$C$1001,$A25,Lançamentos!$E$2:$E$1001,"Débito")+SUMIFS(Lançamentos!$D$2:$D$1001,Lançamentos!$A$2:$A$1001,"&gt;="&amp;Planejamento!$B$6,Lançamentos!$A$2:$A$1001,"&lt;="&amp;Planejamento!$B$7,Lançamentos!$C$2:$C$1001,$A25,Lançamentos!$E$2:$E$1001,"Dinheiro")</f>
        <v/>
      </c>
    </row>
    <row r="26">
      <c r="A26" s="4" t="inlineStr">
        <is>
          <t>Lazer</t>
        </is>
      </c>
      <c r="B26" s="5">
        <f>SUMIFS(Lançamentos!$D$2:$D$1001,Lançamentos!$A$2:$A$1001,"&gt;="&amp;Planejamento!$B$6,Lançamentos!$A$2:$A$1001,"&lt;="&amp;Planejamento!$B$7,Lançamentos!$C$2:$C$1001,$A26,Lançamentos!$E$2:$E$1001,"Crédito")</f>
        <v/>
      </c>
      <c r="C26" s="5">
        <f>SUMIFS(Lançamentos!$D$2:$D$1001,Lançamentos!$A$2:$A$1001,"&gt;="&amp;Planejamento!$B$6,Lançamentos!$A$2:$A$1001,"&lt;="&amp;Planejamento!$B$7,Lançamentos!$C$2:$C$1001,$A26,Lançamentos!$E$2:$E$1001,"Vale-alimentação")</f>
        <v/>
      </c>
      <c r="D26" s="5">
        <f>SUMIFS(Lançamentos!$D$2:$D$1001,Lançamentos!$A$2:$A$1001,"&gt;="&amp;Planejamento!$B$6,Lançamentos!$A$2:$A$1001,"&lt;="&amp;Planejamento!$B$7,Lançamentos!$C$2:$C$1001,$A26,Lançamentos!$E$2:$E$1001,"Pix")+SUMIFS(Lançamentos!$D$2:$D$1001,Lançamentos!$A$2:$A$1001,"&gt;="&amp;Planejamento!$B$6,Lançamentos!$A$2:$A$1001,"&lt;="&amp;Planejamento!$B$7,Lançamentos!$C$2:$C$1001,$A26,Lançamentos!$E$2:$E$1001,"Débito")+SUMIFS(Lançamentos!$D$2:$D$1001,Lançamentos!$A$2:$A$1001,"&gt;="&amp;Planejamento!$B$6,Lançamentos!$A$2:$A$1001,"&lt;="&amp;Planejamento!$B$7,Lançamentos!$C$2:$C$1001,$A26,Lançamentos!$E$2:$E$1001,"Dinheiro")</f>
        <v/>
      </c>
    </row>
    <row r="27">
      <c r="A27" s="4" t="inlineStr">
        <is>
          <t>Outros</t>
        </is>
      </c>
      <c r="B27" s="5">
        <f>SUMIFS(Lançamentos!$D$2:$D$1001,Lançamentos!$A$2:$A$1001,"&gt;="&amp;Planejamento!$B$6,Lançamentos!$A$2:$A$1001,"&lt;="&amp;Planejamento!$B$7,Lançamentos!$C$2:$C$1001,$A27,Lançamentos!$E$2:$E$1001,"Crédito")</f>
        <v/>
      </c>
      <c r="C27" s="5">
        <f>SUMIFS(Lançamentos!$D$2:$D$1001,Lançamentos!$A$2:$A$1001,"&gt;="&amp;Planejamento!$B$6,Lançamentos!$A$2:$A$1001,"&lt;="&amp;Planejamento!$B$7,Lançamentos!$C$2:$C$1001,$A27,Lançamentos!$E$2:$E$1001,"Vale-alimentação")</f>
        <v/>
      </c>
      <c r="D27" s="5">
        <f>SUMIFS(Lançamentos!$D$2:$D$1001,Lançamentos!$A$2:$A$1001,"&gt;="&amp;Planejamento!$B$6,Lançamentos!$A$2:$A$1001,"&lt;="&amp;Planejamento!$B$7,Lançamentos!$C$2:$C$1001,$A27,Lançamentos!$E$2:$E$1001,"Pix")+SUMIFS(Lançamentos!$D$2:$D$1001,Lançamentos!$A$2:$A$1001,"&gt;="&amp;Planejamento!$B$6,Lançamentos!$A$2:$A$1001,"&lt;="&amp;Planejamento!$B$7,Lançamentos!$C$2:$C$1001,$A27,Lançamentos!$E$2:$E$1001,"Débito")+SUMIFS(Lançamentos!$D$2:$D$1001,Lançamentos!$A$2:$A$1001,"&gt;="&amp;Planejamento!$B$6,Lançamentos!$A$2:$A$1001,"&lt;="&amp;Planejamento!$B$7,Lançamentos!$C$2:$C$1001,$A27,Lançamentos!$E$2:$E$1001,"Dinheiro")</f>
        <v/>
      </c>
    </row>
    <row r="28">
      <c r="A28" s="20" t="inlineStr">
        <is>
          <t>Total</t>
        </is>
      </c>
      <c r="B28" s="14">
        <f>SUM(B22:B27)</f>
        <v/>
      </c>
      <c r="C28" s="14">
        <f>SUM(C22:C27)</f>
        <v/>
      </c>
      <c r="D28" s="14">
        <f>SUM(D22:D27)</f>
        <v/>
      </c>
    </row>
    <row r="29">
      <c r="A29" s="2" t="inlineStr">
        <is>
          <t>Não some as colunas: o cartão vai para a fatura, o vale sai do saldo do vale e a conta sai do banco.</t>
        </is>
      </c>
    </row>
  </sheetData>
  <mergeCells count="2">
    <mergeCell ref="G4:I4"/>
    <mergeCell ref="A4:E4"/>
  </mergeCells>
  <conditionalFormatting sqref="I6:I17">
    <cfRule type="expression" priority="1" dxfId="2">
      <formula>AND(ISNUMBER(I6),I6&lt;0)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8" customWidth="1" min="5" max="5"/>
    <col width="14" customWidth="1" min="6" max="6"/>
  </cols>
  <sheetData>
    <row r="1">
      <c r="A1" s="6" t="inlineStr">
        <is>
          <t>Planejamento futuro</t>
        </is>
      </c>
    </row>
    <row r="2">
      <c r="A2" s="2" t="inlineStr">
        <is>
          <t>Cartão e conta saem do bolso; o vale é descontado do saldo do vale. Células amarelas são para vocês editarem.</t>
        </is>
      </c>
    </row>
    <row r="3">
      <c r="E3" s="15" t="inlineStr">
        <is>
          <t>Gastos fixos mensais fora do grupo</t>
        </is>
      </c>
    </row>
    <row r="4">
      <c r="A4" s="21" t="inlineStr">
        <is>
          <t>Margem de segurança</t>
        </is>
      </c>
      <c r="B4" s="22" t="n">
        <v>0.1</v>
      </c>
      <c r="E4" s="23" t="inlineStr">
        <is>
          <t>Descrição</t>
        </is>
      </c>
      <c r="F4" s="23" t="inlineStr">
        <is>
          <t>Valor por mês</t>
        </is>
      </c>
    </row>
    <row r="5">
      <c r="A5" s="21" t="inlineStr">
        <is>
          <t>Dia de fechamento da fatura</t>
        </is>
      </c>
      <c r="B5" s="24" t="n">
        <v>26</v>
      </c>
      <c r="E5" s="25" t="n"/>
      <c r="F5" s="26" t="n"/>
    </row>
    <row r="6">
      <c r="A6" s="21" t="inlineStr">
        <is>
          <t>Fatura atual (início)</t>
        </is>
      </c>
      <c r="B6" s="3">
        <f>IF(COUNT(Lançamentos!$A$2:$A$1001)=0,Resumo!$A$6,DATE(YEAR(MAX(Lançamentos!$A$2:$A$1001)),MONTH(MAX(Lançamentos!$A$2:$A$1001))-IF(DAY(MAX(Lançamentos!$A$2:$A$1001))&lt;B5,1,0),B5))</f>
        <v/>
      </c>
      <c r="E6" s="25" t="n"/>
      <c r="F6" s="26" t="n"/>
    </row>
    <row r="7">
      <c r="A7" s="21" t="inlineStr">
        <is>
          <t>Fatura atual (fim)</t>
        </is>
      </c>
      <c r="B7" s="3">
        <f>EDATE(B6,1)-1</f>
        <v/>
      </c>
      <c r="E7" s="25" t="n"/>
      <c r="F7" s="26" t="n"/>
    </row>
    <row r="8">
      <c r="A8" s="21" t="inlineStr">
        <is>
          <t>Dias na fatura</t>
        </is>
      </c>
      <c r="B8" s="27">
        <f>B7-B6+1</f>
        <v/>
      </c>
      <c r="E8" s="25" t="n"/>
      <c r="F8" s="26" t="n"/>
    </row>
    <row r="9">
      <c r="A9" s="21" t="inlineStr">
        <is>
          <t>Dias com anotações</t>
        </is>
      </c>
      <c r="B9" s="27">
        <f>IF(COUNT(Lançamentos!$A$2:$A$1001)=0,0,MAX(Lançamentos!$A$2:$A$1001)-B6+1)</f>
        <v/>
      </c>
      <c r="E9" s="25" t="n"/>
      <c r="F9" s="26" t="n"/>
    </row>
    <row r="10">
      <c r="A10" s="15" t="inlineStr">
        <is>
          <t>Fatura do cartão + conta (sai do bolso)</t>
        </is>
      </c>
      <c r="E10" s="25" t="n"/>
      <c r="F10" s="26" t="n"/>
    </row>
    <row r="11">
      <c r="A11" s="21" t="inlineStr">
        <is>
          <t>Cartão (crédito) nesta fatura</t>
        </is>
      </c>
      <c r="B11" s="5">
        <f>SUMIFS(Lançamentos!$D$2:$D$1001,Lançamentos!$A$2:$A$1001,"&gt;="&amp;B6,Lançamentos!$A$2:$A$1001,"&lt;="&amp;B7,Lançamentos!$E$2:$E$1001,"Crédito")</f>
        <v/>
      </c>
      <c r="E11" s="25" t="n"/>
      <c r="F11" s="26" t="n"/>
    </row>
    <row r="12">
      <c r="A12" s="21" t="inlineStr">
        <is>
          <t>Conta (Pix, débito, dinheiro)</t>
        </is>
      </c>
      <c r="B12" s="5">
        <f>SUMIFS(Lançamentos!$D$2:$D$1001,Lançamentos!$A$2:$A$1001,"&gt;="&amp;B6,Lançamentos!$A$2:$A$1001,"&lt;="&amp;B7,Lançamentos!$E$2:$E$1001,"Pix")+SUMIFS(Lançamentos!$D$2:$D$1001,Lançamentos!$A$2:$A$1001,"&gt;="&amp;B6,Lançamentos!$A$2:$A$1001,"&lt;="&amp;B7,Lançamentos!$E$2:$E$1001,"Débito")+SUMIFS(Lançamentos!$D$2:$D$1001,Lançamentos!$A$2:$A$1001,"&gt;="&amp;B6,Lançamentos!$A$2:$A$1001,"&lt;="&amp;B7,Lançamentos!$E$2:$E$1001,"Dinheiro")</f>
        <v/>
      </c>
      <c r="E12" s="25" t="n"/>
      <c r="F12" s="26" t="n"/>
    </row>
    <row r="13">
      <c r="A13" s="21" t="inlineStr">
        <is>
          <t>Cartão + conta</t>
        </is>
      </c>
      <c r="B13" s="5">
        <f>B11+B12</f>
        <v/>
      </c>
      <c r="E13" s="25" t="n"/>
      <c r="F13" s="26" t="n"/>
    </row>
    <row r="14">
      <c r="A14" s="21" t="inlineStr">
        <is>
          <t>Média por dia</t>
        </is>
      </c>
      <c r="B14" s="5">
        <f>IF(B9=0,0,B13/B9)</f>
        <v/>
      </c>
      <c r="E14" s="25" t="n"/>
      <c r="F14" s="26" t="n"/>
    </row>
    <row r="15">
      <c r="A15" s="21" t="inlineStr">
        <is>
          <t>Projeção até o dia 25</t>
        </is>
      </c>
      <c r="B15" s="5">
        <f>B13+B14*(B8-B9)</f>
        <v/>
      </c>
      <c r="E15" s="25" t="n"/>
      <c r="F15" s="26" t="n"/>
    </row>
    <row r="16">
      <c r="A16" s="21" t="inlineStr">
        <is>
          <t>Faturas anteriores usadas</t>
        </is>
      </c>
      <c r="B16" s="27">
        <f>COUNTIFS(Resumo!$A$6:$A$17,"&gt;="&amp;EDATE(B6,-3),Resumo!$A$6:$A$17,"&lt;"&amp;B6,Resumo!$M$6:$M$17,"&gt;0")</f>
        <v/>
      </c>
      <c r="E16" s="25" t="n"/>
      <c r="F16" s="26" t="n"/>
    </row>
    <row r="17">
      <c r="A17" s="21" t="inlineStr">
        <is>
          <t>Média por fatura (cartão + conta)</t>
        </is>
      </c>
      <c r="B17" s="5">
        <f>IF(B16=0,B15,AVERAGEIFS(Resumo!$M$6:$M$17,Resumo!$A$6:$A$17,"&gt;="&amp;EDATE(B6,-3),Resumo!$A$6:$A$17,"&lt;"&amp;B6,Resumo!$M$6:$M$17,"&gt;0"))</f>
        <v/>
      </c>
      <c r="E17" s="25" t="n"/>
      <c r="F17" s="26" t="n"/>
    </row>
    <row r="18">
      <c r="A18" s="21" t="inlineStr">
        <is>
          <t>Gastos fixos fora do grupo</t>
        </is>
      </c>
      <c r="B18" s="5">
        <f>SUM(F5:F24)</f>
        <v/>
      </c>
      <c r="E18" s="25" t="n"/>
      <c r="F18" s="26" t="n"/>
    </row>
    <row r="19">
      <c r="A19" s="28" t="inlineStr">
        <is>
          <t>Separar por fatura</t>
        </is>
      </c>
      <c r="B19" s="29">
        <f>(B17+B18)*(1+B4)</f>
        <v/>
      </c>
      <c r="E19" s="25" t="n"/>
      <c r="F19" s="26" t="n"/>
    </row>
    <row r="20">
      <c r="E20" s="25" t="n"/>
      <c r="F20" s="26" t="n"/>
    </row>
    <row r="21">
      <c r="A21" s="15" t="inlineStr">
        <is>
          <t>Vale-alimentação (sai do saldo do vale)</t>
        </is>
      </c>
      <c r="E21" s="25" t="n"/>
      <c r="F21" s="26" t="n"/>
    </row>
    <row r="22">
      <c r="A22" s="21" t="inlineStr">
        <is>
          <t>Vale por mês</t>
        </is>
      </c>
      <c r="B22" s="30" t="n">
        <v>2643.77</v>
      </c>
      <c r="E22" s="25" t="n"/>
      <c r="F22" s="26" t="n"/>
    </row>
    <row r="23">
      <c r="A23" s="21" t="inlineStr">
        <is>
          <t>Gasto no vale nesta fatura</t>
        </is>
      </c>
      <c r="B23" s="5">
        <f>SUMIFS(Lançamentos!$D$2:$D$1001,Lançamentos!$A$2:$A$1001,"&gt;="&amp;B6,Lançamentos!$A$2:$A$1001,"&lt;="&amp;B7,Lançamentos!$E$2:$E$1001,"Vale-alimentação")</f>
        <v/>
      </c>
      <c r="E23" s="25" t="n"/>
      <c r="F23" s="26" t="n"/>
    </row>
    <row r="24">
      <c r="A24" s="21" t="inlineStr">
        <is>
          <t>Saldo atual do vale</t>
        </is>
      </c>
      <c r="B24" s="5">
        <f>IF(B22="","Preencha o valor do vale",B22-B23)</f>
        <v/>
      </c>
      <c r="E24" s="25" t="n"/>
      <c r="F24" s="26" t="n"/>
    </row>
    <row r="25">
      <c r="A25" s="21" t="inlineStr">
        <is>
          <t>Média por dia no vale</t>
        </is>
      </c>
      <c r="B25" s="5">
        <f>IF(B9=0,0,B23/B9)</f>
        <v/>
      </c>
      <c r="E25" s="2" t="inlineStr">
        <is>
          <t>Preencham aqui aluguel, condomínio, plano de saúde etc. (ex.: Aluguel | 1.800,00).</t>
        </is>
      </c>
    </row>
    <row r="26">
      <c r="A26" s="21" t="inlineStr">
        <is>
          <t>Saldo projetado no dia 25</t>
        </is>
      </c>
      <c r="B26" s="5">
        <f>IF(B22="","",B22-(B23+B25*(B8-B9)))</f>
        <v/>
      </c>
    </row>
    <row r="27">
      <c r="A27" s="21" t="inlineStr">
        <is>
          <t>Situação do vale</t>
        </is>
      </c>
      <c r="B27" s="31">
        <f>IF(B22="","",IF(B26&lt;0,"Atenção: no ritmo atual o vale acaba antes do dia 25; faltam cerca de R$ "&amp;ROUND(-B26,0)&amp;", que vão cair no cartão ou na conta.","Dentro do saldo do vale"))</f>
        <v/>
      </c>
    </row>
    <row r="29">
      <c r="A29" s="2" t="inlineStr">
        <is>
          <t>Gasto total da casa nesta fatura (referência)</t>
        </is>
      </c>
      <c r="B29" s="32">
        <f>SUMIFS(Lançamentos!$D$2:$D$1001,Lançamentos!$A$2:$A$1001,"&gt;="&amp;B6,Lançamentos!$A$2:$A$1001,"&lt;="&amp;B7)</f>
        <v/>
      </c>
    </row>
    <row r="31">
      <c r="A31" s="15" t="inlineStr">
        <is>
          <t>Reserva por horizonte (cartão + conta)</t>
        </is>
      </c>
    </row>
    <row r="32">
      <c r="A32" s="1" t="inlineStr">
        <is>
          <t>Horizonte</t>
        </is>
      </c>
      <c r="B32" s="1" t="inlineStr">
        <is>
          <t>Sem margem</t>
        </is>
      </c>
      <c r="C32" s="1" t="inlineStr">
        <is>
          <t>Com margem</t>
        </is>
      </c>
    </row>
    <row r="33">
      <c r="A33" s="21" t="inlineStr">
        <is>
          <t>1 fatura</t>
        </is>
      </c>
      <c r="B33" s="5">
        <f>(B$17+B$18)*D33</f>
        <v/>
      </c>
      <c r="C33" s="5">
        <f>B$19*D33</f>
        <v/>
      </c>
      <c r="D33" s="33" t="n">
        <v>1</v>
      </c>
    </row>
    <row r="34">
      <c r="A34" s="21" t="inlineStr">
        <is>
          <t>3 faturas</t>
        </is>
      </c>
      <c r="B34" s="5">
        <f>(B$17+B$18)*D34</f>
        <v/>
      </c>
      <c r="C34" s="5">
        <f>B$19*D34</f>
        <v/>
      </c>
      <c r="D34" s="33" t="n">
        <v>3</v>
      </c>
    </row>
    <row r="35">
      <c r="A35" s="21" t="inlineStr">
        <is>
          <t>6 faturas</t>
        </is>
      </c>
      <c r="B35" s="5">
        <f>(B$17+B$18)*D35</f>
        <v/>
      </c>
      <c r="C35" s="5">
        <f>B$19*D35</f>
        <v/>
      </c>
      <c r="D35" s="33" t="n">
        <v>6</v>
      </c>
    </row>
    <row r="36">
      <c r="A36" s="21" t="inlineStr">
        <is>
          <t>12 faturas</t>
        </is>
      </c>
      <c r="B36" s="5">
        <f>(B$17+B$18)*D36</f>
        <v/>
      </c>
      <c r="C36" s="5">
        <f>B$19*D36</f>
        <v/>
      </c>
      <c r="D36" s="33" t="n">
        <v>12</v>
      </c>
    </row>
    <row r="37">
      <c r="A37" s="2" t="inlineStr">
        <is>
          <t>Estimativa fica mais confiável a cada fatura completa anotada.</t>
        </is>
      </c>
    </row>
  </sheetData>
  <conditionalFormatting sqref="A26:B27">
    <cfRule type="expression" priority="1" dxfId="3">
      <formula>AND(ISNUMBER($B$26),$B$26&lt;0)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2026-10-27T18:01:24Z</dcterms:created>
  <dcterms:modified xmlns:dcterms="http://purl.org/dc/terms/" xmlns:xsi="http://www.w3.org/2001/XMLSchema-instance" xsi:type="dcterms:W3CDTF">2026-10-27T18:01:24Z</dcterms:modified>
</cp:coreProperties>
</file>